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DecodeLab Internship\DECODELABS PROJECT 2\"/>
    </mc:Choice>
  </mc:AlternateContent>
  <xr:revisionPtr revIDLastSave="0" documentId="13_ncr:1_{02D4475E-94EB-4FB5-B2C6-6C85B3FA30F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ivot Analysis" sheetId="2" r:id="rId1"/>
    <sheet name="cleaned data &amp; EDA" sheetId="1" r:id="rId2"/>
  </sheets>
  <definedNames>
    <definedName name="_xlnm._FilterDatabase" localSheetId="1" hidden="1">'cleaned data &amp; EDA'!$A$1:$N$1201</definedName>
  </definedName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1" l="1"/>
  <c r="T13" i="1"/>
  <c r="T12" i="1"/>
  <c r="Z9" i="1"/>
  <c r="Z8" i="1"/>
  <c r="Z7" i="1"/>
  <c r="Z6" i="1"/>
  <c r="Z5" i="1"/>
  <c r="Z4" i="1"/>
  <c r="Z3" i="1"/>
  <c r="Z2" i="1"/>
  <c r="W9" i="1"/>
  <c r="W8" i="1"/>
  <c r="W7" i="1"/>
  <c r="W6" i="1"/>
  <c r="W5" i="1"/>
  <c r="W4" i="1"/>
  <c r="W3" i="1"/>
  <c r="W2" i="1"/>
  <c r="T9" i="1"/>
  <c r="T8" i="1"/>
  <c r="T7" i="1"/>
  <c r="T6" i="1"/>
  <c r="T5" i="1"/>
  <c r="T4" i="1"/>
  <c r="T3" i="1"/>
  <c r="T2" i="1"/>
  <c r="Q9" i="1"/>
  <c r="Q8" i="1"/>
  <c r="Q7" i="1"/>
  <c r="Q6" i="1"/>
  <c r="Q5" i="1"/>
  <c r="Q4" i="1"/>
  <c r="Q3" i="1"/>
  <c r="Q2" i="1"/>
  <c r="Q11" i="1" l="1"/>
  <c r="Q12" i="1" s="1"/>
  <c r="Q14" i="1" l="1"/>
  <c r="Q13" i="1"/>
</calcChain>
</file>

<file path=xl/sharedStrings.xml><?xml version="1.0" encoding="utf-8"?>
<sst xmlns="http://schemas.openxmlformats.org/spreadsheetml/2006/main" count="10587" uniqueCount="4310">
  <si>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</si>
  <si>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</si>
  <si>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</si>
  <si>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</si>
  <si>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</si>
  <si>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</si>
  <si>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</si>
  <si>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</si>
  <si>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</si>
  <si>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</si>
  <si>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</si>
  <si>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</si>
  <si>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</si>
  <si>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</si>
  <si>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</si>
  <si>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</si>
  <si>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</si>
  <si>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</si>
  <si>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</si>
  <si>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</si>
  <si>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</si>
  <si>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</si>
  <si>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</si>
  <si>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</si>
  <si>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</si>
  <si>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</si>
  <si>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</si>
  <si>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</si>
  <si>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</si>
  <si>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</si>
  <si>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</si>
  <si>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</si>
  <si>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</si>
  <si>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</si>
  <si>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</si>
  <si>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</si>
  <si>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</si>
  <si>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</si>
  <si>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</si>
  <si>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</si>
  <si>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</si>
  <si>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</si>
  <si>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</si>
  <si>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</si>
  <si>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</si>
  <si>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</si>
  <si>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</si>
  <si>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</si>
  <si>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</si>
  <si>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</si>
  <si>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</si>
  <si>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</si>
  <si>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</si>
  <si>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</si>
  <si>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</si>
  <si>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</si>
  <si>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</si>
  <si>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</si>
  <si>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</si>
  <si>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</si>
  <si>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</si>
  <si>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</si>
  <si>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</si>
  <si>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</si>
  <si>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</si>
  <si>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</si>
  <si>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</si>
  <si>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</si>
  <si>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</si>
  <si>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</si>
  <si>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</si>
  <si>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</si>
  <si>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</si>
  <si>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</si>
  <si>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</si>
  <si>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</si>
  <si>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</si>
  <si>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</si>
  <si>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</si>
  <si>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</si>
  <si>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</si>
  <si>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</si>
  <si>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</si>
  <si>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</si>
  <si>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</si>
  <si>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</si>
  <si>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</si>
  <si>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</si>
  <si>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</si>
  <si>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</si>
  <si>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</si>
  <si>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</si>
  <si>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</si>
  <si>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</si>
  <si>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</si>
  <si>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</si>
  <si>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</si>
  <si>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</si>
  <si>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</si>
  <si>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</si>
  <si>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</si>
  <si>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</si>
  <si>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</si>
  <si>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</si>
  <si>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</si>
  <si>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</si>
  <si>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</si>
  <si>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</si>
  <si>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</si>
  <si>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</si>
  <si>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</si>
  <si>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</si>
  <si>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</si>
  <si>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</si>
  <si>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</si>
  <si>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</si>
  <si>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</si>
  <si>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</si>
  <si>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</si>
  <si>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</si>
  <si>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</si>
  <si>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</si>
  <si>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</si>
  <si>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</si>
  <si>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</si>
  <si>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</si>
  <si>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</si>
  <si>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</si>
  <si>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</si>
  <si>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</si>
  <si>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</si>
  <si>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</si>
  <si>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</si>
  <si>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</si>
  <si>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</si>
  <si>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</si>
  <si>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</si>
  <si>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</si>
  <si>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</si>
  <si>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</si>
  <si>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</si>
  <si>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</si>
  <si>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</si>
  <si>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</si>
  <si>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</si>
  <si>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</si>
  <si>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</si>
  <si>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</si>
  <si>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</si>
  <si>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</si>
  <si>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</si>
  <si>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</si>
  <si>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</si>
  <si>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</si>
  <si>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</si>
  <si>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</si>
  <si>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</si>
  <si>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</si>
  <si>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</si>
  <si>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</si>
  <si>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</si>
  <si>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</si>
  <si>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</si>
  <si>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</si>
  <si>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</si>
  <si>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</si>
  <si>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</si>
  <si>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</si>
  <si>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</si>
  <si>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</si>
  <si>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</si>
  <si>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</si>
  <si>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</si>
  <si>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</si>
  <si>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</si>
  <si>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</si>
  <si>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</si>
  <si>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</si>
  <si>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</si>
  <si>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</si>
  <si>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</si>
  <si>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</si>
  <si>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</si>
  <si>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</si>
  <si>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</si>
  <si>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</si>
  <si>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</si>
  <si>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</si>
  <si>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</si>
  <si>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</si>
  <si>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</si>
  <si>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</si>
  <si>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</si>
  <si>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</si>
  <si>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</si>
  <si>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</si>
  <si>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</si>
  <si>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</si>
  <si>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</si>
  <si>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</si>
  <si>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</si>
  <si>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</si>
  <si>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</si>
  <si>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</si>
  <si>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</si>
  <si>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</si>
  <si>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</si>
  <si>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</si>
  <si>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</si>
  <si>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</si>
  <si>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</si>
  <si>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</si>
  <si>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</si>
  <si>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</si>
  <si>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</si>
  <si>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</si>
  <si>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</si>
  <si>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</si>
  <si>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</si>
  <si>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</si>
  <si>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</si>
  <si>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</si>
  <si>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</si>
  <si>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</si>
  <si>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</si>
  <si>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</si>
  <si>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</si>
  <si>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</si>
  <si>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</si>
  <si>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</si>
  <si>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</si>
  <si>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</si>
  <si>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</si>
  <si>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</si>
  <si>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</si>
  <si>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</si>
  <si>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</si>
  <si>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</si>
  <si>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</si>
  <si>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</si>
  <si>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</si>
  <si>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</si>
  <si>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</si>
  <si>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</si>
  <si>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</si>
  <si>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</si>
  <si>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</si>
  <si>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</si>
  <si>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</si>
  <si>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</si>
  <si>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</si>
  <si>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</si>
  <si>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</si>
  <si>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</si>
  <si>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</si>
  <si>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</si>
  <si>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</si>
  <si>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</si>
  <si>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</si>
  <si>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</si>
  <si>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</si>
  <si>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</si>
  <si>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</si>
  <si>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</si>
  <si>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</si>
  <si>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</si>
  <si>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</si>
  <si>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</si>
  <si>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</si>
  <si>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</si>
  <si>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</si>
  <si>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</si>
  <si>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</si>
  <si>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</si>
  <si>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</si>
  <si>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</si>
  <si>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</si>
  <si>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</si>
  <si>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</si>
  <si>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</si>
  <si>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</si>
  <si>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</si>
  <si>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</si>
  <si>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</si>
  <si>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</si>
  <si>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</si>
  <si>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</si>
  <si>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</si>
  <si>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</si>
  <si>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</si>
  <si>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</si>
  <si>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</si>
  <si>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</si>
  <si>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</si>
  <si>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</si>
  <si>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</si>
  <si>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</si>
  <si>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</si>
  <si>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</si>
  <si>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</si>
  <si>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</si>
  <si>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</si>
  <si>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</si>
  <si>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</si>
  <si>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</si>
  <si>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</si>
  <si>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</si>
  <si>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</si>
  <si>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</si>
  <si>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</si>
  <si>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</si>
  <si>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</si>
  <si>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</si>
  <si>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</si>
  <si>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</si>
  <si>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</si>
  <si>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</si>
  <si>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</si>
  <si>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</si>
  <si>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</si>
  <si>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</si>
  <si>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</si>
  <si>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</si>
  <si>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</si>
  <si>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</si>
  <si>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</si>
  <si>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</si>
  <si>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</si>
  <si>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</si>
  <si>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</si>
  <si>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</si>
  <si>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</si>
  <si>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</si>
  <si>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</si>
  <si>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</si>
  <si>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</si>
  <si>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</si>
  <si>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</si>
  <si>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</si>
  <si>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</si>
  <si>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</si>
  <si>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</si>
  <si>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</si>
  <si>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</si>
  <si>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</si>
  <si>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</si>
  <si>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</si>
  <si>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</si>
  <si>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</si>
  <si>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</si>
  <si>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</si>
  <si>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</si>
  <si>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</si>
  <si>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</si>
  <si>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</si>
  <si>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</si>
  <si>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</si>
  <si>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</si>
  <si>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</si>
  <si>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</si>
  <si>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</si>
  <si>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</si>
  <si>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</si>
  <si>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</si>
  <si>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</si>
  <si>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</si>
  <si>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</si>
  <si>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</si>
  <si>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</si>
  <si>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</si>
  <si>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</si>
  <si>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</si>
  <si>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</si>
  <si>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</si>
  <si>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</si>
  <si>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</si>
  <si>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</si>
  <si>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</si>
  <si>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</si>
  <si>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</si>
  <si>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</si>
  <si>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</si>
  <si>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</si>
  <si>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</si>
  <si>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</si>
  <si>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</si>
  <si>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</si>
  <si>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</si>
  <si>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</si>
  <si>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</si>
  <si>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</si>
  <si>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</si>
  <si>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</si>
  <si>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</si>
  <si>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</si>
  <si>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</si>
  <si>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</si>
  <si>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</si>
  <si>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</si>
  <si>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</si>
  <si>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</si>
  <si>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</si>
  <si>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</si>
  <si>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</si>
  <si>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</si>
  <si>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</si>
  <si>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</si>
  <si>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</si>
  <si>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</si>
  <si>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</si>
  <si>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</si>
  <si>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</si>
  <si>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</si>
  <si>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</si>
  <si>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</si>
  <si>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</si>
  <si>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</si>
  <si>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</si>
  <si>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</si>
  <si>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</si>
  <si>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</si>
  <si>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</si>
  <si>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</si>
  <si>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</si>
  <si>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</si>
  <si>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</si>
  <si>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</si>
  <si>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</si>
  <si>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</si>
  <si>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</si>
  <si>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</si>
  <si>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</si>
  <si>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</si>
  <si>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</si>
  <si>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</si>
  <si>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</si>
  <si>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</si>
  <si>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</si>
  <si>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</si>
  <si>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</si>
  <si>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</si>
  <si>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</si>
  <si>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</si>
  <si>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</si>
  <si>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</si>
  <si>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</si>
  <si>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</si>
  <si>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</si>
  <si>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</si>
  <si>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</si>
  <si>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</si>
  <si>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</si>
  <si>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</si>
  <si>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</si>
  <si>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</si>
  <si>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</si>
  <si>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</si>
  <si>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</si>
  <si>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</si>
  <si>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</si>
  <si>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</si>
  <si>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</si>
  <si>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</si>
  <si>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</si>
  <si>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</si>
  <si>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</si>
  <si>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</si>
  <si>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</si>
  <si>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</si>
  <si>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</si>
  <si>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</si>
  <si>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</si>
  <si>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</si>
  <si>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</si>
  <si>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</si>
  <si>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</si>
  <si>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</si>
  <si>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</si>
  <si>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</si>
  <si>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</si>
  <si>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</si>
  <si>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</si>
  <si>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</si>
  <si>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</si>
  <si>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</si>
  <si>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</si>
  <si>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</si>
  <si>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</si>
  <si>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</si>
  <si>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</si>
  <si>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</si>
  <si>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</si>
  <si>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</si>
  <si>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</si>
  <si>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</si>
  <si>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</si>
  <si>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</si>
  <si>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</si>
  <si>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</si>
  <si>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</si>
  <si>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</si>
  <si>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</si>
  <si>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</si>
  <si>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</si>
  <si>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</si>
  <si>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</si>
  <si>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</si>
  <si>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</si>
  <si>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</si>
  <si>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</si>
  <si>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</si>
  <si>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</si>
  <si>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</si>
  <si>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</si>
  <si>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</si>
  <si>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</si>
  <si>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</si>
  <si>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</si>
  <si>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</si>
  <si>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</si>
  <si>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</si>
  <si>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</si>
  <si>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</si>
  <si>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</si>
  <si>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</si>
  <si>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</si>
  <si>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</si>
  <si>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</si>
  <si>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</si>
  <si>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</si>
  <si>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</si>
  <si>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</si>
  <si>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</si>
  <si>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</si>
  <si>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</si>
  <si>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</si>
  <si>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</si>
  <si>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</si>
  <si>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</si>
  <si>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</si>
  <si>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</si>
  <si>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</si>
  <si>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</si>
  <si>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</si>
  <si>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</si>
  <si>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</si>
  <si>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</si>
  <si>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</si>
  <si>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</si>
  <si>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</si>
  <si>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</si>
  <si>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</si>
  <si>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</si>
  <si>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</si>
  <si>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</si>
  <si>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</si>
  <si>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</si>
  <si>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</si>
  <si>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</si>
  <si>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</si>
  <si>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</si>
  <si>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</si>
  <si>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</si>
  <si>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</si>
  <si>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</si>
  <si>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</si>
  <si>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</si>
  <si>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</si>
  <si>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</si>
  <si>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</si>
  <si>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</si>
  <si>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</si>
  <si>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</si>
  <si>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</si>
  <si>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</si>
  <si>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</si>
  <si>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</si>
  <si>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</si>
  <si>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</si>
  <si>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</si>
  <si>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</si>
  <si>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</si>
  <si>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</si>
  <si>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</si>
  <si>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</si>
  <si>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</si>
  <si>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</si>
  <si>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</si>
  <si>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</si>
  <si>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</si>
  <si>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</si>
  <si>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</si>
  <si>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</si>
  <si>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</si>
  <si>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</si>
  <si>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</si>
  <si>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</si>
  <si>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</si>
  <si>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</si>
  <si>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</si>
  <si>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</si>
  <si>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</si>
  <si>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</si>
  <si>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</si>
  <si>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</si>
  <si>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</si>
  <si>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</si>
  <si>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</si>
  <si>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</si>
  <si>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</si>
  <si>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</si>
  <si>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</si>
  <si>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</si>
  <si>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</si>
  <si>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</si>
  <si>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</si>
  <si>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</si>
  <si>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</si>
  <si>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</si>
  <si>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</si>
  <si>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</si>
  <si>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</si>
  <si>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</si>
  <si>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</si>
  <si>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</si>
  <si>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</si>
  <si>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</si>
  <si>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</si>
  <si>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</si>
  <si>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</si>
  <si>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</si>
  <si>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</si>
  <si>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</si>
  <si>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</si>
  <si>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</si>
  <si>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</si>
  <si>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</si>
  <si>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</si>
  <si>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</si>
  <si>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</si>
  <si>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</si>
  <si>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</si>
  <si>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</si>
  <si>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</si>
  <si>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</si>
  <si>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</si>
  <si>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</si>
  <si>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</si>
  <si>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</si>
  <si>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</si>
  <si>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</si>
  <si>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</si>
  <si>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</si>
  <si>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</si>
  <si>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</si>
  <si>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</si>
  <si>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</si>
  <si>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</si>
  <si>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</si>
  <si>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</si>
  <si>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</si>
  <si>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</si>
  <si>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</si>
  <si>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</si>
  <si>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</si>
  <si>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</si>
  <si>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</si>
  <si>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</si>
  <si>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</si>
  <si>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</si>
  <si>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</si>
  <si>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</si>
  <si>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</si>
  <si>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</si>
  <si>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</si>
  <si>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</si>
  <si>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</si>
  <si>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</si>
  <si>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</si>
  <si>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</si>
  <si>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</si>
  <si>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</si>
  <si>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</si>
  <si>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</si>
  <si>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</si>
  <si>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</si>
  <si>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</si>
  <si>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</si>
  <si>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</si>
  <si>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</si>
  <si>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</si>
  <si>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</si>
  <si>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</si>
  <si>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</si>
  <si>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</si>
  <si>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</si>
  <si>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</si>
  <si>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</si>
  <si>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</si>
  <si>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</si>
  <si>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</si>
  <si>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</si>
  <si>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</si>
  <si>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</si>
  <si>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</si>
  <si>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</si>
  <si>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</si>
  <si>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</si>
  <si>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</si>
  <si>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</si>
  <si>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</si>
  <si>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</si>
  <si>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</si>
  <si>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</si>
  <si>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</si>
  <si>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</si>
  <si>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</si>
  <si>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</si>
  <si>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</si>
  <si>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</si>
  <si>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</si>
  <si>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</si>
  <si>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</si>
  <si>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</si>
  <si>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</si>
  <si>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</si>
  <si>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</si>
  <si>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</si>
  <si>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</si>
  <si>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</si>
  <si>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</si>
  <si>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</si>
  <si>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</si>
  <si>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</si>
  <si>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</si>
  <si>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</si>
  <si>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</si>
  <si>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</si>
  <si>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</si>
  <si>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</si>
  <si>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</si>
  <si>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</si>
  <si>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</si>
  <si>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</si>
  <si>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</si>
  <si>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</si>
  <si>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</si>
  <si>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</si>
  <si>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</si>
  <si>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</si>
  <si>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</si>
  <si>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</si>
  <si>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</si>
  <si>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</si>
  <si>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</si>
  <si>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</si>
  <si>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</si>
  <si>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</si>
  <si>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</si>
  <si>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</si>
  <si>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</si>
  <si>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</si>
  <si>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</si>
  <si>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</si>
  <si>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</si>
  <si>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</si>
  <si>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</si>
  <si>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</si>
  <si>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</si>
  <si>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</si>
  <si>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</si>
  <si>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</si>
  <si>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</si>
  <si>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</si>
  <si>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</si>
  <si>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</si>
  <si>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</si>
  <si>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</si>
  <si>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</si>
  <si>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</si>
  <si>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</si>
  <si>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</si>
  <si>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</si>
  <si>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</si>
  <si>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</si>
  <si>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</si>
  <si>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</si>
  <si>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</si>
  <si>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</si>
  <si>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</si>
  <si>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</si>
  <si>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</si>
  <si>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</si>
  <si>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</si>
  <si>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</si>
  <si>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</si>
  <si>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</si>
  <si>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</si>
  <si>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</si>
  <si>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</si>
  <si>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</si>
  <si>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</si>
  <si>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</si>
  <si>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</si>
  <si>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</si>
  <si>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</si>
  <si>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</si>
  <si>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</si>
  <si>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</si>
  <si>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</si>
  <si>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</si>
  <si>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</si>
  <si>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</si>
  <si>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</si>
  <si>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</si>
  <si>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</si>
  <si>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</si>
  <si>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</si>
  <si>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</si>
  <si>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</si>
  <si>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</si>
  <si>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</si>
  <si>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</si>
  <si>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</si>
  <si>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</si>
  <si>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</si>
  <si>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</si>
  <si>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</si>
  <si>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</si>
  <si>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</si>
  <si>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</si>
  <si>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</si>
  <si>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</si>
  <si>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</si>
  <si>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</si>
  <si>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</si>
  <si>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</si>
  <si>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</si>
  <si>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</si>
  <si>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</si>
  <si>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</si>
  <si>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</si>
  <si>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</si>
  <si>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</si>
  <si>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</si>
  <si>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</si>
  <si>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</si>
  <si>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</si>
  <si>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</si>
  <si>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</si>
  <si>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</si>
  <si>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</si>
  <si>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</si>
  <si>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</si>
  <si>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</si>
  <si>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</si>
  <si>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</si>
  <si>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</si>
  <si>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</si>
  <si>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</si>
  <si>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</si>
  <si>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</si>
  <si>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</si>
  <si>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</si>
  <si>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</si>
  <si>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</si>
  <si>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</si>
  <si>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</si>
  <si>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</si>
  <si>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</si>
  <si>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</si>
  <si>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</si>
  <si>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</si>
  <si>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</si>
  <si>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</si>
  <si>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</si>
  <si>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</si>
  <si>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</si>
  <si>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</si>
  <si>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</si>
  <si>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</si>
  <si>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</si>
  <si>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</si>
  <si>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</si>
  <si>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</si>
  <si>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</si>
  <si>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</si>
  <si>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</si>
  <si>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</si>
  <si>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</si>
  <si>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</si>
  <si>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</si>
  <si>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</si>
  <si>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</si>
  <si>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</si>
  <si>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</si>
  <si>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</si>
  <si>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</si>
  <si>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</si>
  <si>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</si>
  <si>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</si>
  <si>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</si>
  <si>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</si>
  <si>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</si>
  <si>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</si>
  <si>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</si>
  <si>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</si>
  <si>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</si>
  <si>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</si>
  <si>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</si>
  <si>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</si>
  <si>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</si>
  <si>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</si>
  <si>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</si>
  <si>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</si>
  <si>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</si>
  <si>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</si>
  <si>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</si>
  <si>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</si>
  <si>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</si>
  <si>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</si>
  <si>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</si>
  <si>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</si>
  <si>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</si>
  <si>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</si>
  <si>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</si>
  <si>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</si>
  <si>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</si>
  <si>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</si>
  <si>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</si>
  <si>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</si>
  <si>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</si>
  <si>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</si>
  <si>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</si>
  <si>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</si>
  <si>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</si>
  <si>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</si>
  <si>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</si>
  <si>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</si>
  <si>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</si>
  <si>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</si>
  <si>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</si>
  <si>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</si>
  <si>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</si>
  <si>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</si>
  <si>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</si>
  <si>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</si>
  <si>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</si>
  <si>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</si>
  <si>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</si>
  <si>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</si>
  <si>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</si>
  <si>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</si>
  <si>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</si>
  <si>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</si>
  <si>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</si>
  <si>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</si>
  <si>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</si>
  <si>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</si>
  <si>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</si>
  <si>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</si>
  <si>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</si>
  <si>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</si>
  <si>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</si>
  <si>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</si>
  <si>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</si>
  <si>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</si>
  <si>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</si>
  <si>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</si>
  <si>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</si>
  <si>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</si>
  <si>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</si>
  <si>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</si>
  <si>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</si>
  <si>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</si>
  <si>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</si>
  <si>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</si>
  <si>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</si>
  <si>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</si>
  <si>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</si>
  <si>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</si>
  <si>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</si>
  <si>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</si>
  <si>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</si>
  <si>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</si>
  <si>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</si>
  <si>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</si>
  <si>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</si>
  <si>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</si>
  <si>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</si>
  <si>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</si>
  <si>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</si>
  <si>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</si>
  <si>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</si>
  <si>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</si>
  <si>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</si>
  <si>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</si>
  <si>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</si>
  <si>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</si>
  <si>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</si>
  <si>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</si>
  <si>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</si>
  <si>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</si>
  <si>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</si>
  <si>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</si>
  <si>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</si>
  <si>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</si>
  <si>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</si>
  <si>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</si>
  <si>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</si>
  <si>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</si>
  <si>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</si>
  <si>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</si>
  <si>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</si>
  <si>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</si>
  <si>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</si>
  <si>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</si>
  <si>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</si>
  <si>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</si>
  <si>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</si>
  <si>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</si>
  <si>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</si>
  <si>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</si>
  <si>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</si>
  <si>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</si>
  <si>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</si>
  <si>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</si>
  <si>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</si>
  <si>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</si>
  <si>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</si>
  <si>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</si>
  <si>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</si>
  <si>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</si>
  <si>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</si>
  <si>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</si>
  <si>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</si>
  <si>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</si>
  <si>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</si>
  <si>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</si>
  <si>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</si>
  <si>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</si>
  <si>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</si>
  <si>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</si>
  <si>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</si>
  <si>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</si>
  <si>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</si>
  <si>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</si>
  <si>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</si>
  <si>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</si>
  <si>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</si>
  <si>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</si>
  <si>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</si>
  <si>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</si>
  <si>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</si>
  <si>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</si>
  <si>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</si>
  <si>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</si>
  <si>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</si>
  <si>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</si>
  <si>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</si>
  <si>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</si>
  <si>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</si>
  <si>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</si>
  <si>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</si>
  <si>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</si>
  <si>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</si>
  <si>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</si>
  <si>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</si>
  <si>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</si>
  <si>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</si>
  <si>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</si>
  <si>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</si>
  <si>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</si>
  <si>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</si>
  <si>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</si>
  <si>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</si>
  <si>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</si>
  <si>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</si>
  <si>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</si>
  <si>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</si>
  <si>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</si>
  <si>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</si>
  <si>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</si>
  <si>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</si>
  <si>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</si>
  <si>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</si>
  <si>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</si>
  <si>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</si>
  <si>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</si>
  <si>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</si>
  <si>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</si>
  <si>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</si>
  <si>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</si>
  <si>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</si>
  <si>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</si>
  <si>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</si>
  <si>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</si>
  <si>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</si>
  <si>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</si>
  <si>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</si>
  <si>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</si>
  <si>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</si>
  <si>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</si>
  <si>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</si>
  <si>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</si>
  <si>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</si>
  <si>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</si>
  <si>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</si>
  <si>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</si>
  <si>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</si>
  <si>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</si>
  <si>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</si>
  <si>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</si>
  <si>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</si>
  <si>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</si>
  <si>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</si>
  <si>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</si>
  <si>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</si>
  <si>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</si>
  <si>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</si>
  <si>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</si>
  <si>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</si>
  <si>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</si>
  <si>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</si>
  <si>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</si>
  <si>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</si>
  <si>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</si>
  <si>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</si>
  <si>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</si>
  <si>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</si>
  <si>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</si>
  <si>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</si>
  <si>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</si>
  <si>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</si>
  <si>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</si>
  <si>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</si>
  <si>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</si>
  <si>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</si>
  <si>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</si>
  <si>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</si>
  <si>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</si>
  <si>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</si>
  <si>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</si>
  <si>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</si>
  <si>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</si>
  <si>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</si>
  <si>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</si>
  <si>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</si>
  <si>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</si>
  <si>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</si>
  <si>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</si>
  <si>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</si>
  <si>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</si>
  <si>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</si>
  <si>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</si>
  <si>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</si>
  <si>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</si>
  <si>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</si>
  <si>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</si>
  <si>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</si>
  <si>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</si>
  <si>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</si>
  <si>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</si>
  <si>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</si>
  <si>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</si>
  <si>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</si>
  <si>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</si>
  <si>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</si>
  <si>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</si>
  <si>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</si>
  <si>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</si>
  <si>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</si>
  <si>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</si>
  <si>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</si>
  <si>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</si>
  <si>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</si>
  <si>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</si>
  <si>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</si>
  <si>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</si>
  <si>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</si>
  <si>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</si>
  <si>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</si>
  <si>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</si>
  <si>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</si>
  <si>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</si>
  <si>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</si>
  <si>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</si>
  <si>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</si>
  <si>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</si>
  <si>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</si>
  <si>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</si>
  <si>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</si>
  <si>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</si>
  <si>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</si>
  <si>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</si>
  <si>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</si>
  <si>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</si>
  <si>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</si>
  <si>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</si>
  <si>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</si>
  <si>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</si>
  <si>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</si>
  <si>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</si>
  <si>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</si>
  <si>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</si>
  <si>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</si>
  <si>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</si>
  <si>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</si>
  <si>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</si>
  <si>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</si>
  <si>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</si>
  <si>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</si>
  <si>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</si>
  <si>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</si>
  <si>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</si>
  <si>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</si>
  <si>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</si>
  <si>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</si>
  <si>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</si>
  <si>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</si>
  <si>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</si>
  <si>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</si>
  <si>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</si>
  <si>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</si>
  <si>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</si>
  <si>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</si>
  <si>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</si>
  <si>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</si>
  <si>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</si>
  <si>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</si>
  <si>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</si>
  <si>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</si>
  <si>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</si>
  <si>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</si>
  <si>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</si>
  <si>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</si>
  <si>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</si>
  <si>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</si>
  <si>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</si>
  <si>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</si>
  <si>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</si>
  <si>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</si>
  <si>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</si>
  <si>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</si>
  <si>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</si>
  <si>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</si>
  <si>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</si>
  <si>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</si>
  <si>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</si>
  <si>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</si>
  <si>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</si>
  <si>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</si>
  <si>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</si>
  <si>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</si>
  <si>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</si>
  <si>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</si>
  <si>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</si>
  <si>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</si>
  <si>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</si>
  <si>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</si>
  <si>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</si>
  <si>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</si>
  <si>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</si>
  <si>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</si>
  <si>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</si>
  <si>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</si>
  <si>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</si>
  <si>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</si>
  <si>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</si>
  <si>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</si>
  <si>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</si>
  <si>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</si>
  <si>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</si>
  <si>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</si>
  <si>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</si>
  <si>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</si>
  <si>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</si>
  <si>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</si>
  <si>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</si>
  <si>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</si>
  <si>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</si>
  <si>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</si>
  <si>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</si>
  <si>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</si>
  <si>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</si>
  <si>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</si>
  <si>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</si>
  <si>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</si>
  <si>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</si>
  <si>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</si>
  <si>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</si>
  <si>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</si>
  <si>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</si>
  <si>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</si>
  <si>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</si>
  <si>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</si>
  <si>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</si>
  <si>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</si>
  <si>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</si>
  <si>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</si>
  <si>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</si>
  <si>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</si>
  <si>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</si>
  <si>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</si>
  <si>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</si>
  <si>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</si>
  <si>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</si>
  <si>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</si>
  <si>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</si>
  <si>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</si>
  <si>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</si>
  <si>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</si>
  <si>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</si>
  <si>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</si>
  <si>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</si>
  <si>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</si>
  <si>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</si>
  <si>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</si>
  <si>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</si>
  <si>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</si>
  <si>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</si>
  <si>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</si>
  <si>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</si>
  <si>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</si>
  <si>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</si>
  <si>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</si>
  <si>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</si>
  <si>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</si>
  <si>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</si>
  <si>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</si>
  <si>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</si>
  <si>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</si>
  <si>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</si>
  <si>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</si>
  <si>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</si>
  <si>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</si>
  <si>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</si>
  <si>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</si>
  <si>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</si>
  <si>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</si>
  <si>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</si>
  <si>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</si>
  <si>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</si>
  <si>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</si>
  <si>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</si>
  <si>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</si>
  <si>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</si>
  <si>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</si>
  <si>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</si>
  <si>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</si>
  <si>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</si>
  <si>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</si>
  <si>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</si>
  <si>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</si>
  <si>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</si>
  <si>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</si>
  <si>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</si>
  <si>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</si>
  <si>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</si>
  <si>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</si>
  <si>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</si>
  <si>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</si>
  <si>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</si>
  <si>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</si>
  <si>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</si>
  <si>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</si>
  <si>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</si>
  <si>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</si>
  <si>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</si>
  <si>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</si>
  <si>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</si>
  <si>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</si>
  <si>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</si>
  <si>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</si>
  <si>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</si>
  <si>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</si>
  <si>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</si>
  <si>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</si>
  <si>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</si>
  <si>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</si>
  <si>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</si>
  <si>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</si>
  <si>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</si>
  <si>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</si>
  <si>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</si>
  <si>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</si>
  <si>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</si>
  <si>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</si>
  <si>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</si>
  <si>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</si>
  <si>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</si>
  <si>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</si>
  <si>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</si>
  <si>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</si>
  <si>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</si>
  <si>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</si>
  <si>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</si>
  <si>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</si>
  <si>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</si>
  <si>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</si>
  <si>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</si>
  <si>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</si>
  <si>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</si>
  <si>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</si>
  <si>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</si>
  <si>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</si>
  <si>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</si>
  <si>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</si>
  <si>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</si>
  <si>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</si>
  <si>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</si>
  <si>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</si>
  <si>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</si>
  <si>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</si>
  <si>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</si>
  <si>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</si>
  <si>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</si>
  <si>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</si>
  <si>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</si>
  <si>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</si>
  <si>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</si>
  <si>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</si>
  <si>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</si>
  <si>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</si>
  <si>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</si>
  <si>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</si>
  <si>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</si>
  <si>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</si>
  <si>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</si>
  <si>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</si>
  <si>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</si>
  <si>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</si>
  <si>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</si>
  <si>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</si>
  <si>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</si>
  <si>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</si>
  <si>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</si>
  <si>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</si>
  <si>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</si>
  <si>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</si>
  <si>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</si>
  <si>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</si>
  <si>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</si>
  <si>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</si>
  <si>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</si>
  <si>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</si>
  <si>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</si>
  <si>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</si>
  <si>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</si>
  <si>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</si>
  <si>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</si>
  <si>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</si>
  <si>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</si>
  <si>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</si>
  <si>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</si>
  <si>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</si>
  <si>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</si>
  <si>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</si>
  <si>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</si>
  <si>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</si>
  <si>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</si>
  <si>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</si>
  <si>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</si>
  <si>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</si>
  <si>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</si>
  <si>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</si>
  <si>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</si>
  <si>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</si>
  <si>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</si>
  <si>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</si>
  <si>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</si>
  <si>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</si>
  <si>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</si>
  <si>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</si>
  <si>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</si>
  <si>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</si>
  <si>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</si>
  <si>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</si>
  <si>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</si>
  <si>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</si>
  <si>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</si>
  <si>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</si>
  <si>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</si>
  <si>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</si>
  <si>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</si>
  <si>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</si>
  <si>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</si>
  <si>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</si>
  <si>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</si>
  <si>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</si>
  <si>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</si>
  <si>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</si>
  <si>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</si>
  <si>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</si>
  <si>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</si>
  <si>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</si>
  <si>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</si>
  <si>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</si>
  <si>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</si>
  <si>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</si>
  <si>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</si>
  <si>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</si>
  <si>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</si>
  <si>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</si>
  <si>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</si>
  <si>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</si>
  <si>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</si>
  <si>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</si>
  <si>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</si>
  <si>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</si>
  <si>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</si>
  <si>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</si>
  <si>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</si>
  <si>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</si>
  <si>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</si>
  <si>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</si>
  <si>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</si>
  <si>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</si>
  <si>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</si>
  <si>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</si>
  <si>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</si>
  <si>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</si>
  <si>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</si>
  <si>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</si>
  <si>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</si>
  <si>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</si>
  <si>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</si>
  <si>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</si>
  <si>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</si>
  <si>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</si>
  <si>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</si>
  <si>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</si>
  <si>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</si>
  <si>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</si>
  <si>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</si>
  <si>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</si>
  <si>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</si>
  <si>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</si>
  <si>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</si>
  <si>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</si>
  <si>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</si>
  <si>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</si>
  <si>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</si>
  <si>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</si>
  <si>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</si>
  <si>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</si>
  <si>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</si>
  <si>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</si>
  <si>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</si>
  <si>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</si>
  <si>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</si>
  <si>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</si>
  <si>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</si>
  <si>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</si>
  <si>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</si>
  <si>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</si>
  <si>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</si>
  <si>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</si>
  <si>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</si>
  <si>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</si>
  <si>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</si>
  <si>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</si>
  <si>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</si>
  <si>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</si>
  <si>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</si>
  <si>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</si>
  <si>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</si>
  <si>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</si>
  <si>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</si>
  <si>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</si>
  <si>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</si>
  <si>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</si>
  <si>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</si>
  <si>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</si>
  <si>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</si>
  <si>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</si>
  <si>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</si>
  <si>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</si>
  <si>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</si>
  <si>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</si>
  <si>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</si>
  <si>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</si>
  <si>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</si>
  <si>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</si>
  <si>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</si>
  <si>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</si>
  <si>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</si>
  <si>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</si>
  <si>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</si>
  <si>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</si>
  <si>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</si>
  <si>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</si>
  <si>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</si>
  <si>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</si>
  <si>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</si>
  <si>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</si>
  <si>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</si>
  <si>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</si>
  <si>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</si>
  <si>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</si>
  <si>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</si>
  <si>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</si>
  <si>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</si>
  <si>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</si>
  <si>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</si>
  <si>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</si>
  <si>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</si>
  <si>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</si>
  <si>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</si>
  <si>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</si>
  <si>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</si>
  <si>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</si>
  <si>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</si>
  <si>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</si>
  <si>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</si>
  <si>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</si>
  <si>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</si>
  <si>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</si>
  <si>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</si>
  <si>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</si>
  <si>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</si>
  <si>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</si>
  <si>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</si>
  <si>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</si>
  <si>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</si>
  <si>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</si>
  <si>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</si>
  <si>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</si>
  <si>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</si>
  <si>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</si>
  <si>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</si>
  <si>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</si>
  <si>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</si>
  <si>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</si>
  <si>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</si>
  <si>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</si>
  <si>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</si>
  <si>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</si>
  <si>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</si>
  <si>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</si>
  <si>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</si>
  <si>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</si>
  <si>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</si>
  <si>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</si>
  <si>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</si>
  <si>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</si>
  <si>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</si>
  <si>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</si>
  <si>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</si>
  <si>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</si>
  <si>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</si>
  <si>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</si>
  <si>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</si>
  <si>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</si>
  <si>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</si>
  <si>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</si>
  <si>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</si>
  <si>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</si>
  <si>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</si>
  <si>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</si>
  <si>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</si>
  <si>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</si>
  <si>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</si>
  <si>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</si>
  <si>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</si>
  <si>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</si>
  <si>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</si>
  <si>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</si>
  <si>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</si>
  <si>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</si>
  <si>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</si>
  <si>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</si>
  <si>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</si>
  <si>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</si>
  <si>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</si>
  <si>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</si>
  <si>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</si>
  <si>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</si>
  <si>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</si>
  <si>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</si>
  <si>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</si>
  <si>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</si>
  <si>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</si>
  <si>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</si>
  <si>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</si>
  <si>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</si>
  <si>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</si>
  <si>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</si>
  <si>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</si>
  <si>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</si>
  <si>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</si>
  <si>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</si>
  <si>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</si>
  <si>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</si>
  <si>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</si>
  <si>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</si>
  <si>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</si>
  <si>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</si>
  <si>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</si>
  <si>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</si>
  <si>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</si>
  <si>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</si>
  <si>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</si>
  <si>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</si>
  <si>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</si>
  <si>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</si>
  <si>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</si>
  <si>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</si>
  <si>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</si>
  <si>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</si>
  <si>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</si>
  <si>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</si>
  <si>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</si>
  <si>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</si>
  <si>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</si>
  <si>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</si>
  <si>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</si>
  <si>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</si>
  <si>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</si>
  <si>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</si>
  <si>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</si>
  <si>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</si>
  <si>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</si>
  <si>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</si>
  <si>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</si>
  <si>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</si>
  <si>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</si>
  <si>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</si>
  <si>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</si>
  <si>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</si>
  <si>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</si>
  <si>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</si>
  <si>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</si>
  <si>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</si>
  <si>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</si>
  <si>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</si>
  <si>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</si>
  <si>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</si>
  <si>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</si>
  <si>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</si>
  <si>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</si>
  <si>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</si>
  <si>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</si>
  <si>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</si>
  <si>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</si>
  <si>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</si>
  <si>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</si>
  <si>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</si>
  <si>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</si>
  <si>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</si>
  <si>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</si>
  <si>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</si>
  <si>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</si>
  <si>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</si>
  <si>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</si>
  <si>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</si>
  <si>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</si>
  <si>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</si>
  <si>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</si>
  <si>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</si>
  <si>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</si>
  <si>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</si>
  <si>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</si>
  <si>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</si>
  <si>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</si>
  <si>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</si>
  <si>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</si>
  <si>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</si>
  <si>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</si>
  <si>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</si>
  <si>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</si>
  <si>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</si>
  <si>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</si>
  <si>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</si>
  <si>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</si>
  <si>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</si>
  <si>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</si>
  <si>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</si>
  <si>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</si>
  <si>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</si>
  <si>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</si>
  <si>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</si>
  <si>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</si>
  <si>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</si>
  <si>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</si>
  <si>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</si>
  <si>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</si>
  <si>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</si>
  <si>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</si>
  <si>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</si>
  <si>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</si>
  <si>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</si>
  <si>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</si>
  <si>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</si>
  <si>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</si>
  <si>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</si>
  <si>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</si>
  <si>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</si>
  <si>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</si>
  <si>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</si>
  <si>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</si>
  <si>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</si>
  <si>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</si>
  <si>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</si>
  <si>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</si>
  <si>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</si>
  <si>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</si>
  <si>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</si>
  <si>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</si>
  <si>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</si>
  <si>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</si>
  <si>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</si>
  <si>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</si>
  <si>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</si>
  <si>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</si>
  <si>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</si>
  <si>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</si>
  <si>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</si>
  <si>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</si>
  <si>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</si>
  <si>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</si>
  <si>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</si>
  <si>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</si>
  <si>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</si>
  <si>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</si>
  <si>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</si>
  <si>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</si>
  <si>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</si>
  <si>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</si>
  <si>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</si>
  <si>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</si>
  <si>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</si>
  <si>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</si>
  <si>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</si>
  <si>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</si>
  <si>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</si>
  <si>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</si>
  <si>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</si>
  <si>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</si>
  <si>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</si>
  <si>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</si>
  <si>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</si>
  <si>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</si>
  <si>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</si>
  <si>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</si>
  <si>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</si>
  <si>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</si>
  <si>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</si>
  <si>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</si>
  <si>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</si>
  <si>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</si>
  <si>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</si>
  <si>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</si>
  <si>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</si>
  <si>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</si>
  <si>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</si>
  <si>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</si>
  <si>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</si>
  <si>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</si>
  <si>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</si>
  <si>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</si>
  <si>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</si>
  <si>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</si>
  <si>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</si>
  <si>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</si>
  <si>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</si>
  <si>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</si>
  <si>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</si>
  <si>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</si>
  <si>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</si>
  <si>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</si>
  <si>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</si>
  <si>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</si>
  <si>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</si>
  <si>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</si>
  <si>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</si>
  <si>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</si>
  <si>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</si>
  <si>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</si>
  <si>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</si>
  <si>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</si>
  <si>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</si>
  <si>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</si>
  <si>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</si>
  <si>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</si>
  <si>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</si>
  <si>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</si>
  <si>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</si>
  <si>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</si>
  <si>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</si>
  <si>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</si>
  <si>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</si>
  <si>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</si>
  <si>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</si>
  <si>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</si>
  <si>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</si>
  <si>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</si>
  <si>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</si>
  <si>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</si>
  <si>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</si>
  <si>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</si>
  <si>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</si>
  <si>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</si>
  <si>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</si>
  <si>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</si>
  <si>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</si>
  <si>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</si>
  <si>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</si>
  <si>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</si>
  <si>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</si>
  <si>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</si>
  <si>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</si>
  <si>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</si>
  <si>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</si>
  <si>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</si>
  <si>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</si>
  <si>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</si>
  <si>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</si>
  <si>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</si>
  <si>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</si>
  <si>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</si>
  <si>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</si>
  <si>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</si>
  <si>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</si>
  <si>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</si>
  <si>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</si>
  <si>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</si>
  <si>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</si>
  <si>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</si>
  <si>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</si>
  <si>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</si>
  <si>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</si>
  <si>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</si>
  <si>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</si>
  <si>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</si>
  <si>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</si>
  <si>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</si>
  <si>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</si>
  <si>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</si>
  <si>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</si>
  <si>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</si>
  <si>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</si>
  <si>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</si>
  <si>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</si>
  <si>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</si>
  <si>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</si>
  <si>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</si>
  <si>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</si>
  <si>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</si>
  <si>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</si>
  <si>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</si>
  <si>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</si>
  <si>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</si>
  <si>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</si>
  <si>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</si>
  <si>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</si>
  <si>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</si>
  <si>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</si>
  <si>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</si>
  <si>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</si>
  <si>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</si>
  <si>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</si>
  <si>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</si>
  <si>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</si>
  <si>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</si>
  <si>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</si>
  <si>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</si>
  <si>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</si>
  <si>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</si>
  <si>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</si>
  <si>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</si>
  <si>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</si>
  <si>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</si>
  <si>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</si>
  <si>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</si>
  <si>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</si>
  <si>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</si>
  <si>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</si>
  <si>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</si>
  <si>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</si>
  <si>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</si>
  <si>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</si>
  <si>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</si>
  <si>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</si>
  <si>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</si>
  <si>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</si>
  <si>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</si>
  <si>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</si>
  <si>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</si>
  <si>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</si>
  <si>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</si>
  <si>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</si>
  <si>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</si>
  <si>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</si>
  <si>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</si>
  <si>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</si>
  <si>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</si>
  <si>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</si>
  <si>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</si>
  <si>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</si>
  <si>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</si>
  <si>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</si>
  <si>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</si>
  <si>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</si>
  <si>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</si>
  <si>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</si>
  <si>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</si>
  <si>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</si>
  <si>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</si>
  <si>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</si>
  <si>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</si>
  <si>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</si>
  <si>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</si>
  <si>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</si>
  <si>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</si>
  <si>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</si>
  <si>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</si>
  <si>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</si>
  <si>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</si>
  <si>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</si>
  <si>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</si>
  <si>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</si>
  <si>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</si>
  <si>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</si>
  <si>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</si>
  <si>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</si>
  <si>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</si>
  <si>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</si>
  <si>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</si>
  <si>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</si>
  <si>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</si>
  <si>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</si>
  <si>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</si>
  <si>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</si>
  <si>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</si>
  <si>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</si>
  <si>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</si>
  <si>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</si>
  <si>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</si>
  <si>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</si>
  <si>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</si>
  <si>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</si>
  <si>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</si>
  <si>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</si>
  <si>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</si>
  <si>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</si>
  <si>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</si>
  <si>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</si>
  <si>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</si>
  <si>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</si>
  <si>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</si>
  <si>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</si>
  <si>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</si>
  <si>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</si>
  <si>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</si>
  <si>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</si>
  <si>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</si>
  <si>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</si>
  <si>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</si>
  <si>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</si>
  <si>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</si>
  <si>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</si>
  <si>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</si>
  <si>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</si>
  <si>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</si>
  <si>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</si>
  <si>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</si>
  <si>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</si>
  <si>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</si>
  <si>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</si>
  <si>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</si>
  <si>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</si>
  <si>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</si>
  <si>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</si>
  <si>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</si>
  <si>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</si>
  <si>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</si>
  <si>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</si>
  <si>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</si>
  <si>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</si>
  <si>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</si>
  <si>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</si>
  <si>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</si>
  <si>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</si>
  <si>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</si>
  <si>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</si>
  <si>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</si>
  <si>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</si>
  <si>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</si>
  <si>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</si>
  <si>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</si>
  <si>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</si>
  <si>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</si>
  <si>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</si>
  <si>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</si>
  <si>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</si>
  <si>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</si>
  <si>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</si>
  <si>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</si>
  <si>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</si>
  <si>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</si>
  <si>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</si>
  <si>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</si>
  <si>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</si>
  <si>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</si>
  <si>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</si>
  <si>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</si>
  <si>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</si>
  <si>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</si>
  <si>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</si>
  <si>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</si>
  <si>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</si>
  <si>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</si>
  <si>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</si>
  <si>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</si>
  <si>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</si>
  <si>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</si>
  <si>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</si>
  <si>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</si>
  <si>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</si>
  <si>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</si>
  <si>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</si>
  <si>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</si>
  <si>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</si>
  <si>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</si>
  <si>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</si>
  <si>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</si>
  <si>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</si>
  <si>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</si>
  <si>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</si>
  <si>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</si>
  <si>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</si>
  <si>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</si>
  <si>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</si>
  <si>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</si>
  <si>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</si>
  <si>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</si>
  <si>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</si>
  <si>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</si>
  <si>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</si>
  <si>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</si>
  <si>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</si>
  <si>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</si>
  <si>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</si>
  <si>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</si>
  <si>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</si>
  <si>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</si>
  <si>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</si>
  <si>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</si>
  <si>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</si>
  <si>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</si>
  <si>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</si>
  <si>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</si>
  <si>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</si>
  <si>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</si>
  <si>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</si>
  <si>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</si>
  <si>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</si>
  <si>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</si>
  <si>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</si>
  <si>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</si>
  <si>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</si>
  <si>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</si>
  <si>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</si>
  <si>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</si>
  <si>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</si>
  <si>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</si>
  <si>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</si>
  <si>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</si>
  <si>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</si>
  <si>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</si>
  <si>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</si>
  <si>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</si>
  <si>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</si>
  <si>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</si>
  <si>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</si>
  <si>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</si>
  <si>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</si>
  <si>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</si>
  <si>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</si>
  <si>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</si>
  <si>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</si>
  <si>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</si>
  <si>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</si>
  <si>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</si>
  <si>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</si>
  <si>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</si>
  <si>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</si>
  <si>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</si>
  <si>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</si>
  <si>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</si>
  <si>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</si>
  <si>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</si>
  <si>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</si>
  <si>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</si>
  <si>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</si>
  <si>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</si>
  <si>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</si>
  <si>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</si>
  <si>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</si>
  <si>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</si>
  <si>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</si>
  <si>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</si>
  <si>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</si>
  <si>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</si>
  <si>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</si>
  <si>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</si>
  <si>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</si>
  <si>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</si>
  <si>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</si>
  <si>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</si>
  <si>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</si>
  <si>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</si>
  <si>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</si>
  <si>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</si>
  <si>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</si>
  <si>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</si>
  <si>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</si>
  <si>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</si>
  <si>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</si>
  <si>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</si>
  <si>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</si>
  <si>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</si>
  <si>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</si>
  <si>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</si>
  <si>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</si>
  <si>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</si>
  <si>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</si>
  <si>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</si>
  <si>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</si>
  <si>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</si>
  <si>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</si>
  <si>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</si>
  <si>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</si>
  <si>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</si>
  <si>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</si>
  <si>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</si>
  <si>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</si>
  <si>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</si>
  <si>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</si>
  <si>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</si>
  <si>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</si>
  <si>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</si>
  <si>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</si>
  <si>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</si>
  <si>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</si>
  <si>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</si>
  <si>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</si>
  <si>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</si>
  <si>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</si>
  <si>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</si>
  <si>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</si>
  <si>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</si>
  <si>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</si>
  <si>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</si>
  <si>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</si>
  <si>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</si>
  <si>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</si>
  <si>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</si>
  <si>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</si>
  <si>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</si>
  <si>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</si>
  <si>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</si>
  <si>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</si>
  <si>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</si>
  <si>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</si>
  <si>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</si>
  <si>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</si>
  <si>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</si>
  <si>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</si>
  <si>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</si>
  <si>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</si>
  <si>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</si>
  <si>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</si>
  <si>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</si>
  <si>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</si>
  <si>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</si>
  <si>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</si>
  <si>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</si>
  <si>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</si>
  <si>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</si>
  <si>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</si>
  <si>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</si>
  <si>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</si>
  <si>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</si>
  <si>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</si>
  <si>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</si>
  <si>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</si>
  <si>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</si>
  <si>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</si>
  <si>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</si>
  <si>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</si>
  <si>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</si>
  <si>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</si>
  <si>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</si>
  <si>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</si>
  <si>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</si>
  <si>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</si>
  <si>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</si>
  <si>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</si>
  <si>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</si>
  <si>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</si>
  <si>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</si>
  <si>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</si>
  <si>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</si>
  <si>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</si>
  <si>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</si>
  <si>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</si>
  <si>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</si>
  <si>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</si>
  <si>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</si>
  <si>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</si>
  <si>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</si>
  <si>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</si>
  <si>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</si>
  <si>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</si>
  <si>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</si>
  <si>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</si>
  <si>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</si>
  <si>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</si>
  <si>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</si>
  <si>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</si>
  <si>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</si>
  <si>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</si>
  <si>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</si>
  <si>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</si>
  <si>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</si>
  <si>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</si>
  <si>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</si>
  <si>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</si>
  <si>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</si>
  <si>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</si>
  <si>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</si>
  <si>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</si>
  <si>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</si>
  <si>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</si>
  <si>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</si>
  <si>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</si>
  <si>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</si>
  <si>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</si>
  <si>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</si>
  <si>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</si>
  <si>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</si>
  <si>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</si>
  <si>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</si>
  <si>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</si>
  <si>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</si>
  <si>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</si>
  <si>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</si>
  <si>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</si>
  <si>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</si>
  <si>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</si>
  <si>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</si>
  <si>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</si>
  <si>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</si>
  <si>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</si>
  <si>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</si>
  <si>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</si>
  <si>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</si>
  <si>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</si>
  <si>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</si>
  <si>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</si>
  <si>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</si>
  <si>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</si>
  <si>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</si>
  <si>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</si>
  <si>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</si>
  <si>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</si>
  <si>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</si>
  <si>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</si>
  <si>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</si>
  <si>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</si>
  <si>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</si>
  <si>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</si>
  <si>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</si>
  <si>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</si>
  <si>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</si>
  <si>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</si>
  <si>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</si>
  <si>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</si>
  <si>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</si>
  <si>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</si>
  <si>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</si>
  <si>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</si>
  <si>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</si>
  <si>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</si>
  <si>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</si>
  <si>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</si>
  <si>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</si>
  <si>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</si>
  <si>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</si>
  <si>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</si>
  <si>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</si>
  <si>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</si>
  <si>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</si>
  <si>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</si>
  <si>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</si>
  <si>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</si>
  <si>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</si>
  <si>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</si>
  <si>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</si>
  <si>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</si>
  <si>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</si>
  <si>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</si>
  <si>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</si>
  <si>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</si>
  <si>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</si>
  <si>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</si>
  <si>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</si>
  <si>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</si>
  <si>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</si>
  <si>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</si>
  <si>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</si>
  <si>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</si>
  <si>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</si>
  <si>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</si>
  <si>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</si>
  <si>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</si>
  <si>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</si>
  <si>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</si>
  <si>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</si>
  <si>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</si>
  <si>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</si>
  <si>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</si>
  <si>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</si>
  <si>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</si>
  <si>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</si>
  <si>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</si>
  <si>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</si>
  <si>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</si>
  <si>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</si>
  <si>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</si>
  <si>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</si>
  <si>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</si>
  <si>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</si>
  <si>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</si>
  <si>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</si>
  <si>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</si>
  <si>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</si>
  <si>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</si>
  <si>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</si>
  <si>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</si>
  <si>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</si>
  <si>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</si>
  <si>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</si>
  <si>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</si>
  <si>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</si>
  <si>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</si>
  <si>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</si>
  <si>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</si>
  <si>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</si>
  <si>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</si>
  <si>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</si>
  <si>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</si>
  <si>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</si>
  <si>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</si>
  <si>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</si>
  <si>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</si>
  <si>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</si>
  <si>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</si>
  <si>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</si>
  <si>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</si>
  <si>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</si>
  <si>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</si>
  <si>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</si>
  <si>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</si>
  <si>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</si>
  <si>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</si>
  <si>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</si>
  <si>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</si>
  <si>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</si>
  <si>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</si>
  <si>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</si>
  <si>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</si>
  <si>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</si>
  <si>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</si>
  <si>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</si>
  <si>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</si>
  <si>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</si>
  <si>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</si>
  <si>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</si>
  <si>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</si>
  <si>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</si>
  <si>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</si>
  <si>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</si>
  <si>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</si>
  <si>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</si>
  <si>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</si>
  <si>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</si>
  <si>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</si>
  <si>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</si>
  <si>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</si>
  <si>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</si>
  <si>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</si>
  <si>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</si>
  <si>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</si>
  <si>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</si>
  <si>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</si>
  <si>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</si>
  <si>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</si>
  <si>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</si>
  <si>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</si>
  <si>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</si>
  <si>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</si>
  <si>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</si>
  <si>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</si>
  <si>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</si>
  <si>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</si>
  <si>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</si>
  <si>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</si>
  <si>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</si>
  <si>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</si>
  <si>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</si>
  <si>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</si>
  <si>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</si>
  <si>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</si>
  <si>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</si>
  <si>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</si>
  <si>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</si>
  <si>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</si>
  <si>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</si>
  <si>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</si>
  <si>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</si>
  <si>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</si>
  <si>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</si>
  <si>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</si>
  <si>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</si>
  <si>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</si>
  <si>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</si>
  <si>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</si>
  <si>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</si>
  <si>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</si>
  <si>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</si>
  <si>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</si>
  <si>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</si>
  <si>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</si>
  <si>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</si>
  <si>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</si>
  <si>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</si>
  <si>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</si>
  <si>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</si>
  <si>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</si>
  <si>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</si>
  <si>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</si>
  <si>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</si>
  <si>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</si>
  <si>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</si>
  <si>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</si>
  <si>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</si>
  <si>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</si>
  <si>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</si>
  <si>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</si>
  <si>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</si>
  <si>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</si>
  <si>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</si>
  <si>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</si>
  <si>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</si>
  <si>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</si>
  <si>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</si>
  <si>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</si>
  <si>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</si>
  <si>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</si>
  <si>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</si>
  <si>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</si>
  <si>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</si>
  <si>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</si>
  <si>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</si>
  <si>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</si>
  <si>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</si>
  <si>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</si>
  <si>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</si>
  <si>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</si>
  <si>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</si>
  <si>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</si>
  <si>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</si>
  <si>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</si>
  <si>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</si>
  <si>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</si>
  <si>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</si>
  <si>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</si>
  <si>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</si>
  <si>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</si>
  <si>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</si>
  <si>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</si>
  <si>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</si>
  <si>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</si>
  <si>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</si>
  <si>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</si>
  <si>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</si>
  <si>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</si>
  <si>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</si>
  <si>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</si>
  <si>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</si>
  <si>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</si>
  <si>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</si>
  <si>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</si>
  <si>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</si>
  <si>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</si>
  <si>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</si>
  <si>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</si>
  <si>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</si>
  <si>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</si>
  <si>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</si>
  <si>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</si>
  <si>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</si>
  <si>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</si>
  <si>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</si>
  <si>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</si>
  <si>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</si>
  <si>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</si>
  <si>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</si>
  <si>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</si>
  <si>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</si>
  <si>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</si>
  <si>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</si>
  <si>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</si>
  <si>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</si>
  <si>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</si>
  <si>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</si>
  <si>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</si>
  <si>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</si>
  <si>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</si>
  <si>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</si>
  <si>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</si>
  <si>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</si>
  <si>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</si>
  <si>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</si>
  <si>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</si>
  <si>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</si>
  <si>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</si>
  <si>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</si>
  <si>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</si>
  <si>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</si>
  <si>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</si>
  <si>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</si>
  <si>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</si>
  <si>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</si>
  <si>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</si>
  <si>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</si>
  <si>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</si>
  <si>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</si>
  <si>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</si>
  <si>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</si>
  <si>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</si>
  <si>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</si>
  <si>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</si>
  <si>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</si>
  <si>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</si>
  <si>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</si>
  <si>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</si>
  <si>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</si>
  <si>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</si>
  <si>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</si>
  <si>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</si>
  <si>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</si>
  <si>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</si>
  <si>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</si>
  <si>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</si>
  <si>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</si>
  <si>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</si>
  <si>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</si>
  <si>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</si>
  <si>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</si>
  <si>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</si>
  <si>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</si>
  <si>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</si>
  <si>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</si>
  <si>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</si>
  <si>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</si>
  <si>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</si>
  <si>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</si>
  <si>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</si>
  <si>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</si>
  <si>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</si>
  <si>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</si>
  <si>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</si>
  <si>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</si>
  <si>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</si>
  <si>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</si>
  <si>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</si>
  <si>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</si>
  <si>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</si>
  <si>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</si>
  <si>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</si>
  <si>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</si>
  <si>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</si>
  <si>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</si>
  <si>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</si>
  <si>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</si>
  <si>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</si>
  <si>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</si>
  <si>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</si>
  <si>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</si>
  <si>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</si>
  <si>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</si>
  <si>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</si>
  <si>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</si>
  <si>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</si>
  <si>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</si>
  <si>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</si>
  <si>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</si>
  <si>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</si>
  <si>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</si>
  <si>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</si>
  <si>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</si>
  <si>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</si>
  <si>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</si>
  <si>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</si>
  <si>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</si>
  <si>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</si>
  <si>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</si>
  <si>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</si>
  <si>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</si>
  <si>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</si>
  <si>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</si>
  <si>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</si>
  <si>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</si>
  <si>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</si>
  <si>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</si>
  <si>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</si>
  <si>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</si>
  <si>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</si>
  <si>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</si>
  <si>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</si>
  <si>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</si>
  <si>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</si>
  <si>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</si>
  <si>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</si>
  <si>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</si>
  <si>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</si>
  <si>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</si>
  <si>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</si>
  <si>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</si>
  <si>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</si>
  <si>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</si>
  <si>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</si>
  <si>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</si>
  <si>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</si>
  <si>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</si>
  <si>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</si>
  <si>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</si>
  <si>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</si>
  <si>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</si>
  <si>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</si>
  <si>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</si>
  <si>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</si>
  <si>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</si>
  <si>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</si>
  <si>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</si>
  <si>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</si>
  <si>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</si>
  <si>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</si>
  <si>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</si>
  <si>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</si>
  <si>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</si>
  <si>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</si>
  <si>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</si>
  <si>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</si>
  <si>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</si>
  <si>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</si>
  <si>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</si>
  <si>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</si>
  <si>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</si>
  <si>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</si>
  <si>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</si>
  <si>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</si>
  <si>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</si>
  <si>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</si>
  <si>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</si>
  <si>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</si>
  <si>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</si>
  <si>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</si>
  <si>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</si>
  <si>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</si>
  <si>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</si>
  <si>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</si>
  <si>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</si>
  <si>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</si>
  <si>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</si>
  <si>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</si>
  <si>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</si>
  <si>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</si>
  <si>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</si>
  <si>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</si>
  <si>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</si>
  <si>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</si>
  <si>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</si>
  <si>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</si>
  <si>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</si>
  <si>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</si>
  <si>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</si>
  <si>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</si>
  <si>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</si>
  <si>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</si>
  <si>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</si>
  <si>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</si>
  <si>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</si>
  <si>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</si>
  <si>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</si>
  <si>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</si>
  <si>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</si>
  <si>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</si>
  <si>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</si>
  <si>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</si>
  <si>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</si>
  <si>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</si>
  <si>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</si>
  <si>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</si>
  <si>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</si>
  <si>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</si>
  <si>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</si>
  <si>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</si>
  <si>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</si>
  <si>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</si>
  <si>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</si>
  <si>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</si>
  <si>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</si>
  <si>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</si>
  <si>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</si>
  <si>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</si>
  <si>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</si>
  <si>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</si>
  <si>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</si>
  <si>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</si>
  <si>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</si>
  <si>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</si>
  <si>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</si>
  <si>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</si>
  <si>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</si>
  <si>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</si>
  <si>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</si>
  <si>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</si>
  <si>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</si>
  <si>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</si>
  <si>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</si>
  <si>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</si>
  <si>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</si>
  <si>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</si>
  <si>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</si>
  <si>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</si>
  <si>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</si>
  <si>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</si>
  <si>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</si>
  <si>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</si>
  <si>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</si>
  <si>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</si>
  <si>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</si>
  <si>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</si>
  <si>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</si>
  <si>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</si>
  <si>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</si>
  <si>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</si>
  <si>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</si>
  <si>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</si>
  <si>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</si>
  <si>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</si>
  <si>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</si>
  <si>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</si>
  <si>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</si>
  <si>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</si>
  <si>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</si>
  <si>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</si>
  <si>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</si>
  <si>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</si>
  <si>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</si>
  <si>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</si>
  <si>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</si>
  <si>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</si>
  <si>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</si>
  <si>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</si>
  <si>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</si>
  <si>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</si>
  <si>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</si>
  <si>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</si>
  <si>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</si>
  <si>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</si>
  <si>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</si>
  <si>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</si>
  <si>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</si>
  <si>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</si>
  <si>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</si>
  <si>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</si>
  <si>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</si>
  <si>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</si>
  <si>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</si>
  <si>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</si>
  <si>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</si>
  <si>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</si>
  <si>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</si>
  <si>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</si>
  <si>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</si>
  <si>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</si>
  <si>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</si>
  <si>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</si>
  <si>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</si>
  <si>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</si>
  <si>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</si>
  <si>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</si>
  <si>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</si>
  <si>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</si>
  <si>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</si>
  <si>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</si>
  <si>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</si>
  <si>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</si>
  <si>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</si>
  <si>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</si>
  <si>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</si>
  <si>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</si>
  <si>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</si>
  <si>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</si>
  <si>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</si>
  <si>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</si>
  <si>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</si>
  <si>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</si>
  <si>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</si>
  <si>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</si>
  <si>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</si>
  <si>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</si>
  <si>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</si>
  <si>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</si>
  <si>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</si>
  <si>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</si>
  <si>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</si>
  <si>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</si>
  <si>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</si>
  <si>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</si>
  <si>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</si>
  <si>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</si>
  <si>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</si>
  <si>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</si>
  <si>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</si>
  <si>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</si>
  <si>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</si>
  <si>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</si>
  <si>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</si>
  <si>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</si>
  <si>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</si>
  <si>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</si>
  <si>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</si>
  <si>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</si>
  <si>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</si>
  <si>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</si>
  <si>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</si>
  <si>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</si>
  <si>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</si>
  <si>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</si>
  <si>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</si>
  <si>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</si>
  <si>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</si>
  <si>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</si>
  <si>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</si>
  <si>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</si>
  <si>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</si>
  <si>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</si>
  <si>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</si>
  <si>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</si>
  <si>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</si>
  <si>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</si>
  <si>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</si>
  <si>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</si>
  <si>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</si>
  <si>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</si>
  <si>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</si>
  <si>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</si>
  <si>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</si>
  <si>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</si>
  <si>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</si>
  <si>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</si>
  <si>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</si>
  <si>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</si>
  <si>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</si>
  <si>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</si>
  <si>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</si>
  <si>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</si>
  <si>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</si>
  <si>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</si>
  <si>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</si>
  <si>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</si>
  <si>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</si>
  <si>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</si>
  <si>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</si>
  <si>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</si>
  <si>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</si>
  <si>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</si>
  <si>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</si>
  <si>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</si>
  <si>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</si>
  <si>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</si>
  <si>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</si>
  <si>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</si>
  <si>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</si>
  <si>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</si>
  <si>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</si>
  <si>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</si>
  <si>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</si>
  <si>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</si>
  <si>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</si>
  <si>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</si>
  <si>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</si>
  <si>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</si>
  <si>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</si>
  <si>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</si>
  <si>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</si>
  <si>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</si>
  <si>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</si>
  <si>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</si>
  <si>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</si>
  <si>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</si>
  <si>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</si>
  <si>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</si>
  <si>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</si>
  <si>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</si>
  <si>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</si>
  <si>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</si>
  <si>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</si>
  <si>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</si>
  <si>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</si>
  <si>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</si>
  <si>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</si>
  <si>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</si>
  <si>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</si>
  <si>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</si>
  <si>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</si>
  <si>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</si>
  <si>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</si>
  <si>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</si>
  <si>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</si>
  <si>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</si>
  <si>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</si>
  <si>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</si>
  <si>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</si>
  <si>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</si>
  <si>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</si>
  <si>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</si>
  <si>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</si>
  <si>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</si>
  <si>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</si>
  <si>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</si>
  <si>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</si>
  <si>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</si>
  <si>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</si>
  <si>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</si>
  <si>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</si>
  <si>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</si>
  <si>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</si>
  <si>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</si>
  <si>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</si>
  <si>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</si>
  <si>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</si>
  <si>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</si>
  <si>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</si>
  <si>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</si>
  <si>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</si>
  <si>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</si>
  <si>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</si>
  <si>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</si>
  <si>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</si>
  <si>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</si>
  <si>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</si>
  <si>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</si>
  <si>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</si>
  <si>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</si>
  <si>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</si>
  <si>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</si>
  <si>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</si>
  <si>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</si>
  <si>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</si>
  <si>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</si>
  <si>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</si>
  <si>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</si>
  <si>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</si>
  <si>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</si>
  <si>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</si>
  <si>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</si>
  <si>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</si>
  <si>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</si>
  <si>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</si>
  <si>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</si>
  <si>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</si>
  <si>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</si>
  <si>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</si>
  <si>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</si>
  <si>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</si>
  <si>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</si>
  <si>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</si>
  <si>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</si>
  <si>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</si>
  <si>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</si>
  <si>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</si>
  <si>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</si>
  <si>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</si>
  <si>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</si>
  <si>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</si>
  <si>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</si>
  <si>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</si>
  <si>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</si>
  <si>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</si>
  <si>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</si>
  <si>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</si>
  <si>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</si>
  <si>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</si>
  <si>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</si>
  <si>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</si>
  <si>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</si>
  <si>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</si>
  <si>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</si>
  <si>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</si>
  <si>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</si>
  <si>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</si>
  <si>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</si>
  <si>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</si>
  <si>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</si>
  <si>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</si>
  <si>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</si>
  <si>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</si>
  <si>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</si>
  <si>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</si>
  <si>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</si>
  <si>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</si>
  <si>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</si>
  <si>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</si>
  <si>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</si>
  <si>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</si>
  <si>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</si>
  <si>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</si>
  <si>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</si>
  <si>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</si>
  <si>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</si>
  <si>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</si>
  <si>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</si>
  <si>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</si>
  <si>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</si>
  <si>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</si>
  <si>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</si>
  <si>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</si>
  <si>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</si>
  <si>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</si>
  <si>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</si>
  <si>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</si>
  <si>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</si>
  <si>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</si>
  <si>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</si>
  <si>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</si>
  <si>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</si>
  <si>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</si>
  <si>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</si>
  <si>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</si>
  <si>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</si>
  <si>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</si>
  <si>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</si>
  <si>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</si>
  <si>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</si>
  <si>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</si>
  <si>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</si>
  <si>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</si>
  <si>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</si>
  <si>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</si>
  <si>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</si>
  <si>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</si>
  <si>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</si>
  <si>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</si>
  <si>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</si>
  <si>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</si>
  <si>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</si>
  <si>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</si>
  <si>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</si>
  <si>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</si>
  <si>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</si>
  <si>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</si>
  <si>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</si>
  <si>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</si>
  <si>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</si>
  <si>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</si>
  <si>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</si>
  <si>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</si>
  <si>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</si>
  <si>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</si>
  <si>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</si>
  <si>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</si>
  <si>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</si>
  <si>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</si>
  <si>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</si>
  <si>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</si>
  <si>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</si>
  <si>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</si>
  <si>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</si>
  <si>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</si>
  <si>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</si>
  <si>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</si>
  <si>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</si>
  <si>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</si>
  <si>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</si>
  <si>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</si>
  <si>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</si>
  <si>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</si>
  <si>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</si>
  <si>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</si>
  <si>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</si>
  <si>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</si>
  <si>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</si>
  <si>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</si>
  <si>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</si>
  <si>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</si>
  <si>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</si>
  <si>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</si>
  <si>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</si>
  <si>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</si>
  <si>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</si>
  <si>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</si>
  <si>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</si>
  <si>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</si>
  <si>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</si>
  <si>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</si>
  <si>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</si>
  <si>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</si>
  <si>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</si>
  <si>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</si>
  <si>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</si>
  <si>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</si>
  <si>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</si>
  <si>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</si>
  <si>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</si>
  <si>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</si>
  <si>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</si>
  <si>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</si>
  <si>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</si>
  <si>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</si>
  <si>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</si>
  <si>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</si>
  <si>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</si>
  <si>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</si>
  <si>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</si>
  <si>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</si>
  <si>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</si>
  <si>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</si>
  <si>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</si>
  <si>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</si>
  <si>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</si>
  <si>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</si>
  <si>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</si>
  <si>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</si>
  <si>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</si>
  <si>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</si>
  <si>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</si>
  <si>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</si>
  <si>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</si>
  <si>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</si>
  <si>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</si>
  <si>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</si>
  <si>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</si>
  <si>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</si>
  <si>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</si>
  <si>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</si>
  <si>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</si>
  <si>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</si>
  <si>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</si>
  <si>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</si>
  <si>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</si>
  <si>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</si>
  <si>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</si>
  <si>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</si>
  <si>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</si>
  <si>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</si>
  <si>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</si>
  <si>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</si>
  <si>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</si>
  <si>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</si>
  <si>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</si>
  <si>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</si>
  <si>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</si>
  <si>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</si>
  <si>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</si>
  <si>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</si>
  <si>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</si>
  <si>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</si>
  <si>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</si>
  <si>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</si>
  <si>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</si>
  <si>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</si>
  <si>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</si>
  <si>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</si>
  <si>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</si>
  <si>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</si>
  <si>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</si>
  <si>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</si>
  <si>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</si>
  <si>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</si>
  <si>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</si>
  <si>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</si>
  <si>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</si>
  <si>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</si>
  <si>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</si>
  <si>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</si>
  <si>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</si>
  <si>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</si>
  <si>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</si>
  <si>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</si>
  <si>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</si>
  <si>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</si>
  <si>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</si>
  <si>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</si>
  <si>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</si>
  <si>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</si>
  <si>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</si>
  <si>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</si>
  <si>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</si>
  <si>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</si>
  <si>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</si>
  <si>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</si>
  <si>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</si>
  <si>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</si>
  <si>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</si>
  <si>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</si>
  <si>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</si>
  <si>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</si>
  <si>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</si>
  <si>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</si>
  <si>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</si>
  <si>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</si>
  <si>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</si>
  <si>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</si>
  <si>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</si>
  <si>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</si>
  <si>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</si>
  <si>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</si>
  <si>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</si>
  <si>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</si>
  <si>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</si>
  <si>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</si>
  <si>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</si>
  <si>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</si>
  <si>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</si>
  <si>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</si>
  <si>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</si>
  <si>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</si>
  <si>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</si>
  <si>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</si>
  <si>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</si>
  <si>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</si>
  <si>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</si>
  <si>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</si>
  <si>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</si>
  <si>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</si>
  <si>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</si>
  <si>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</si>
  <si>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</si>
  <si>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</si>
  <si>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</si>
  <si>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</si>
  <si>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</si>
  <si>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</si>
  <si>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</si>
  <si>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</si>
  <si>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</si>
  <si>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</si>
  <si>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</si>
  <si>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</si>
  <si>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</si>
  <si>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</si>
  <si>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</si>
  <si>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</si>
  <si>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</si>
  <si>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</si>
  <si>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</si>
  <si>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</si>
  <si>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</si>
  <si>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</si>
  <si>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</si>
  <si>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</si>
  <si>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</si>
  <si>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</si>
  <si>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</si>
  <si>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</si>
  <si>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</si>
  <si>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</si>
  <si>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</si>
  <si>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</si>
  <si>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</si>
  <si>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</si>
  <si>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</si>
  <si>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</si>
  <si>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</si>
  <si>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</si>
  <si>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</si>
  <si>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</si>
  <si>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</si>
  <si>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</si>
  <si>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</si>
  <si>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</si>
  <si>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</si>
  <si>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</si>
  <si>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</si>
  <si>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</si>
  <si>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</si>
  <si>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</si>
  <si>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</si>
  <si>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</si>
  <si>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</si>
  <si>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</si>
  <si>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</si>
  <si>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</si>
  <si>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</si>
  <si>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</si>
  <si>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</si>
  <si>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</si>
  <si>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</si>
  <si>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</si>
  <si>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</si>
  <si>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</si>
  <si>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</si>
  <si>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</si>
  <si>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</si>
  <si>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</si>
  <si>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</si>
  <si>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</si>
  <si>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</si>
  <si>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</si>
  <si>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</si>
  <si>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</si>
  <si>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</si>
  <si>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</si>
  <si>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</si>
  <si>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</si>
  <si>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</si>
  <si>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</si>
  <si>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</si>
  <si>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</si>
  <si>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</si>
  <si>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</si>
  <si>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</si>
  <si>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</si>
  <si>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</si>
  <si>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</si>
  <si>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</si>
  <si>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</si>
  <si>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</si>
  <si>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</si>
  <si>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</si>
  <si>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</si>
  <si>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</si>
  <si>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</si>
  <si>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</si>
  <si>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</si>
  <si>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</si>
  <si>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</si>
  <si>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</si>
  <si>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</si>
  <si>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</si>
  <si>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</si>
  <si>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</si>
  <si>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</si>
  <si>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</si>
  <si>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</si>
  <si>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</si>
  <si>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</si>
  <si>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</si>
  <si>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</si>
  <si>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</si>
  <si>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</si>
  <si>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</si>
  <si>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</si>
  <si>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</si>
  <si>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</si>
  <si>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</si>
  <si>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</si>
  <si>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</si>
  <si>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</si>
  <si>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</si>
  <si>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</si>
  <si>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</si>
  <si>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</si>
  <si>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</si>
  <si>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</si>
  <si>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</si>
  <si>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</si>
  <si>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</si>
  <si>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</si>
  <si>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</si>
  <si>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</si>
  <si>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</si>
  <si>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</si>
  <si>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</si>
  <si>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</si>
  <si>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</si>
  <si>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</si>
  <si>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</si>
  <si>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</si>
  <si>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</si>
  <si>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</si>
  <si>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</si>
  <si>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</si>
  <si>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</si>
  <si>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</si>
  <si>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</si>
  <si>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</si>
  <si>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</si>
  <si>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</si>
  <si>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</si>
  <si>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</si>
  <si>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</si>
  <si>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</si>
  <si>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</si>
  <si>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</si>
  <si>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</si>
  <si>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</si>
  <si>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</si>
  <si>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</si>
  <si>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</si>
  <si>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</si>
  <si>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</si>
  <si>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</si>
  <si>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</si>
  <si>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</si>
  <si>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</si>
  <si>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</si>
  <si>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</si>
  <si>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</si>
  <si>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</si>
  <si>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</si>
  <si>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</si>
  <si>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</si>
  <si>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</si>
  <si>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</si>
  <si>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</si>
  <si>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</si>
  <si>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</si>
  <si>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</si>
  <si>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</si>
  <si>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</si>
  <si>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</si>
  <si>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</si>
  <si>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</si>
  <si>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</si>
  <si>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</si>
  <si>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</si>
  <si>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</si>
  <si>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</si>
  <si>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</si>
  <si>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</si>
  <si>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</si>
  <si>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</si>
  <si>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</si>
  <si>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</si>
  <si>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</si>
  <si>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</si>
  <si>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</si>
  <si>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</si>
  <si>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</si>
  <si>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</si>
  <si>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</si>
  <si>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</si>
  <si>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</si>
  <si>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</si>
  <si>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</si>
  <si>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</si>
  <si>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</si>
  <si>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</si>
  <si>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</si>
  <si>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</si>
  <si>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</si>
  <si>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</si>
  <si>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</si>
  <si>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</si>
  <si>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</si>
  <si>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</si>
  <si>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</si>
  <si>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</si>
  <si>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</si>
  <si>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</si>
  <si>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</si>
  <si>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</si>
  <si>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</si>
  <si>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</si>
  <si>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</si>
  <si>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</si>
  <si>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</si>
  <si>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</si>
  <si>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</si>
  <si>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</si>
  <si>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</si>
  <si>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</si>
  <si>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</si>
  <si>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</si>
  <si>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</si>
  <si>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</si>
  <si>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</si>
  <si>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</si>
  <si>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</si>
  <si>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</si>
  <si>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</si>
  <si>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</si>
  <si>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</si>
  <si>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</si>
  <si>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</si>
  <si>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</si>
  <si>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</si>
  <si>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</si>
  <si>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</si>
  <si>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</si>
  <si>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</si>
  <si>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</si>
  <si>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</si>
  <si>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</si>
  <si>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</si>
  <si>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</si>
  <si>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</si>
  <si>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</si>
  <si>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</si>
  <si>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</si>
  <si>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</si>
  <si>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</si>
  <si>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</si>
  <si>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</si>
  <si>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</si>
  <si>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</si>
  <si>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</si>
  <si>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</si>
  <si>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</si>
  <si>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</si>
  <si>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</si>
  <si>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</si>
  <si>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</si>
  <si>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</si>
  <si>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</si>
  <si>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</si>
  <si>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</si>
  <si>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</si>
  <si>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</si>
  <si>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</si>
  <si>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</si>
  <si>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</si>
  <si>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</si>
  <si>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</si>
  <si>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</si>
  <si>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</si>
  <si>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</si>
  <si>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</si>
  <si>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</si>
  <si>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</si>
  <si>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</si>
  <si>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</si>
  <si>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</si>
  <si>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</si>
  <si>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</si>
  <si>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</si>
  <si>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</si>
  <si>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</si>
  <si>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</si>
  <si>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</si>
  <si>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</si>
  <si>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</si>
  <si>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</si>
  <si>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</si>
  <si>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</si>
  <si>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</si>
  <si>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</si>
  <si>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</si>
  <si>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</si>
  <si>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</si>
  <si>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</si>
  <si>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</si>
  <si>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</si>
  <si>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</si>
  <si>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</si>
  <si>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</si>
  <si>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</si>
  <si>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</si>
  <si>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</si>
  <si>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</si>
  <si>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</si>
  <si>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</si>
  <si>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</si>
  <si>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</si>
  <si>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</si>
  <si>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</si>
  <si>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</si>
  <si>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</si>
  <si>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</si>
  <si>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</si>
  <si>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</si>
  <si>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</si>
  <si>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</si>
  <si>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</si>
  <si>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</si>
  <si>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</si>
  <si>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</si>
  <si>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</si>
  <si>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</si>
  <si>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</si>
  <si>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</si>
  <si>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</si>
  <si>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</si>
  <si>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</si>
  <si>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</si>
  <si>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</si>
  <si>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</si>
  <si>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</si>
  <si>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</si>
  <si>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</si>
  <si>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</si>
  <si>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</si>
  <si>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</si>
  <si>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</si>
  <si>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</si>
  <si>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</si>
  <si>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</si>
  <si>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</si>
  <si>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</si>
  <si>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</si>
  <si>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</si>
  <si>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</si>
  <si>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</si>
  <si>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</si>
  <si>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</si>
  <si>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</si>
  <si>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</si>
  <si>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</si>
  <si>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</si>
  <si>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</si>
  <si>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</si>
  <si>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</si>
  <si>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</si>
  <si>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</si>
  <si>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</si>
  <si>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</si>
  <si>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</si>
  <si>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</si>
  <si>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</si>
  <si>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</si>
  <si>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</si>
  <si>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</si>
  <si>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</si>
  <si>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</si>
  <si>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</si>
  <si>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</si>
  <si>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</si>
  <si>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</si>
  <si>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</si>
  <si>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</si>
  <si>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</si>
  <si>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</si>
  <si>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</si>
  <si>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</si>
  <si>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</si>
  <si>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</si>
  <si>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</si>
  <si>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</si>
  <si>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</si>
  <si>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</si>
  <si>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</si>
  <si>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</si>
  <si>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</si>
  <si>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</si>
  <si>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</si>
  <si>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</si>
  <si>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</si>
  <si>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</si>
  <si>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</si>
  <si>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</si>
  <si>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</si>
  <si>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</si>
  <si>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</si>
  <si>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</si>
  <si>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</si>
  <si>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</si>
  <si>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</si>
  <si>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</si>
  <si>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</si>
  <si>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</si>
  <si>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</si>
  <si>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</si>
  <si>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</si>
  <si>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</si>
  <si>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</si>
  <si>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</si>
  <si>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</si>
  <si>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</si>
  <si>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</si>
  <si>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</si>
  <si>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</si>
  <si>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</si>
  <si>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</si>
  <si>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</si>
  <si>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</si>
  <si>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</si>
  <si>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</si>
  <si>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</si>
  <si>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</si>
  <si>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</si>
  <si>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</si>
  <si>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</si>
  <si>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</si>
  <si>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</si>
  <si>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</si>
  <si>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</si>
  <si>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</si>
  <si>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</si>
  <si>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</si>
  <si>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</si>
  <si>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</si>
  <si>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</si>
  <si>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</si>
  <si>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</si>
  <si>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</si>
  <si>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</si>
  <si>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</si>
  <si>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</si>
  <si>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</si>
  <si>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</si>
  <si>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</si>
  <si>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</si>
  <si>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</si>
  <si>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</si>
  <si>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</si>
  <si>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</si>
  <si>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</si>
  <si>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</si>
  <si>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</si>
  <si>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</si>
  <si>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</si>
  <si>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</si>
  <si>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</si>
  <si>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</si>
  <si>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</si>
  <si>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</si>
  <si>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</si>
  <si>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</si>
  <si>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</si>
  <si>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</si>
  <si>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</si>
  <si>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</si>
  <si>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</si>
  <si>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</si>
  <si>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</si>
  <si>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</si>
  <si>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</si>
  <si>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</si>
  <si>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</si>
  <si>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</si>
  <si>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</si>
  <si>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</si>
  <si>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</si>
  <si>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</si>
  <si>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</si>
  <si>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</si>
  <si>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</si>
  <si>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</si>
  <si>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</si>
  <si>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</si>
  <si>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</si>
  <si>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</si>
  <si>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</si>
  <si>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</si>
  <si>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</si>
  <si>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</si>
  <si>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</si>
  <si>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</si>
  <si>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</si>
  <si>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</si>
  <si>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</si>
  <si>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</si>
  <si>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</si>
  <si>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</si>
  <si>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</si>
  <si>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</si>
  <si>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</si>
  <si>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</si>
  <si>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</si>
  <si>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</si>
  <si>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</si>
  <si>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</si>
  <si>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</si>
  <si>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</si>
  <si>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</si>
  <si>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</si>
  <si>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</si>
  <si>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</si>
  <si>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</si>
  <si>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</si>
  <si>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</si>
  <si>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</si>
  <si>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</si>
  <si>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</si>
  <si>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</si>
  <si>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</si>
  <si>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</si>
  <si>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</si>
  <si>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</si>
  <si>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</si>
  <si>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</si>
  <si>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</si>
  <si>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</si>
  <si>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</si>
  <si>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</si>
  <si>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</si>
  <si>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</si>
  <si>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</si>
  <si>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</si>
  <si>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</si>
  <si>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</si>
  <si>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</si>
  <si>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</si>
  <si>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</si>
  <si>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</si>
  <si>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</si>
  <si>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</si>
  <si>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</si>
  <si>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</si>
  <si>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</si>
  <si>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</si>
  <si>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</si>
  <si>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</si>
  <si>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</si>
  <si>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</si>
  <si>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</si>
  <si>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</si>
  <si>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</si>
  <si>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</si>
  <si>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</si>
  <si>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</si>
  <si>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</si>
  <si>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</si>
  <si>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</si>
  <si>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</si>
  <si>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</si>
  <si>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</si>
  <si>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</si>
  <si>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</si>
  <si>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</si>
  <si>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</si>
  <si>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</si>
  <si>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</si>
  <si>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</si>
  <si>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</si>
  <si>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</si>
  <si>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</si>
  <si>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</si>
  <si>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</si>
  <si>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</si>
  <si>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</si>
  <si>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</si>
  <si>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</si>
  <si>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</si>
  <si>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</si>
  <si>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</si>
  <si>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</si>
  <si>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</si>
  <si>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</si>
  <si>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</si>
  <si>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</si>
  <si>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</si>
  <si>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</si>
  <si>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</si>
  <si>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</si>
  <si>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</si>
  <si>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</si>
  <si>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</si>
  <si>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</si>
  <si>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</si>
  <si>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</si>
  <si>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</si>
  <si>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</si>
  <si>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</si>
  <si>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</si>
  <si>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</si>
  <si>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</si>
  <si>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</si>
  <si>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</si>
  <si>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</si>
  <si>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</si>
  <si>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</si>
  <si>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</si>
  <si>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</si>
  <si>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</si>
  <si>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</si>
  <si>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</si>
  <si>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</si>
  <si>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</si>
  <si>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</si>
  <si>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</si>
  <si>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</si>
  <si>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</si>
  <si>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</si>
  <si>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</si>
  <si>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</si>
  <si>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</si>
  <si>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</si>
  <si>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</si>
  <si>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</si>
  <si>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</si>
  <si>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</si>
  <si>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</si>
  <si>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</si>
  <si>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</si>
  <si>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</si>
  <si>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</si>
  <si>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</si>
  <si>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</si>
  <si>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</si>
  <si>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</si>
  <si>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</si>
  <si>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</si>
  <si>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</si>
  <si>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</si>
  <si>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</si>
  <si>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</si>
  <si>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</si>
  <si>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</si>
  <si>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</si>
  <si>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</si>
  <si>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</si>
  <si>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</si>
  <si>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</si>
  <si>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</si>
  <si>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</si>
  <si>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</si>
  <si>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</si>
  <si>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</si>
  <si>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</si>
  <si>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</si>
  <si>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</si>
  <si>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</si>
  <si>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</si>
  <si>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</si>
  <si>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</si>
  <si>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</si>
  <si>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</si>
  <si>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</si>
  <si>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</si>
  <si>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</si>
  <si>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</si>
  <si>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</si>
  <si>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</si>
  <si>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</si>
  <si>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</si>
  <si>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</si>
  <si>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</si>
  <si>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</si>
  <si>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</si>
  <si>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</si>
  <si>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</si>
  <si>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</si>
  <si>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</si>
  <si>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</si>
  <si>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</si>
  <si>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</si>
  <si>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</si>
  <si>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</si>
  <si>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</si>
  <si>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</si>
  <si>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</si>
  <si>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</si>
  <si>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</si>
  <si>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</si>
  <si>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</si>
  <si>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</si>
  <si>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</si>
  <si>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</si>
  <si>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</si>
  <si>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</si>
  <si>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</si>
  <si>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</si>
  <si>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</si>
  <si>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</si>
  <si>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</si>
  <si>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</si>
  <si>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</si>
  <si>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</si>
  <si>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</si>
  <si>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</si>
  <si>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</si>
  <si>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</si>
  <si>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</si>
  <si>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</si>
  <si>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</si>
  <si>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</si>
  <si>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</si>
  <si>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</si>
  <si>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</si>
  <si>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</si>
  <si>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</si>
  <si>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</si>
  <si>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</si>
  <si>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</si>
  <si>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</si>
  <si>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</si>
  <si>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</si>
  <si>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</si>
  <si>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</si>
  <si>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</si>
  <si>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</si>
  <si>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</si>
  <si>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</si>
  <si>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</si>
  <si>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</si>
  <si>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</si>
  <si>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</si>
  <si>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</si>
  <si>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</si>
  <si>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</si>
  <si>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</si>
  <si>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</si>
  <si>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</si>
  <si>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</si>
  <si>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</si>
  <si>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</si>
  <si>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</si>
  <si>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</si>
  <si>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</si>
  <si>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</si>
  <si>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</si>
  <si>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</si>
  <si>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</si>
  <si>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</si>
  <si>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</si>
  <si>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</si>
  <si>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</si>
  <si>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</si>
  <si>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</si>
  <si>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</si>
  <si>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</si>
  <si>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</si>
  <si>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</si>
  <si>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</si>
  <si>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</si>
  <si>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</si>
  <si>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</si>
  <si>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</si>
  <si>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</si>
  <si>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</si>
  <si>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</si>
  <si>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</si>
  <si>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</si>
  <si>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</si>
  <si>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</si>
  <si>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</si>
  <si>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</si>
  <si>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</si>
  <si>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</si>
  <si>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</si>
  <si>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</si>
  <si>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</si>
  <si>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</si>
  <si>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</si>
  <si>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</si>
  <si>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</si>
  <si>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</si>
  <si>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</si>
  <si>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</si>
  <si>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</si>
  <si>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</si>
  <si>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</si>
  <si>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</si>
  <si>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</si>
  <si>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</si>
  <si>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</si>
  <si>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</si>
  <si>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</si>
  <si>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</si>
  <si>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</si>
  <si>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</si>
  <si>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</si>
  <si>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</si>
  <si>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</si>
  <si>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</si>
  <si>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</si>
  <si>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</si>
  <si>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</si>
  <si>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</si>
  <si>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</si>
  <si>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</si>
  <si>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</si>
  <si>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</si>
  <si>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</si>
  <si>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</si>
  <si>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</si>
  <si>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</si>
  <si>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</si>
  <si>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</si>
  <si>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</si>
  <si>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</si>
  <si>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</si>
  <si>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</si>
  <si>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</si>
  <si>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</si>
  <si>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</si>
  <si>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</si>
  <si>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</si>
  <si>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</si>
  <si>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</si>
  <si>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</si>
  <si>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</si>
  <si>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</si>
  <si>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</si>
  <si>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</si>
  <si>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</si>
  <si>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</si>
  <si>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</si>
  <si>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</si>
  <si>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</si>
  <si>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</si>
  <si>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</si>
  <si>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</si>
  <si>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</si>
  <si>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</si>
  <si>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</si>
  <si>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</si>
  <si>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</si>
  <si>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</si>
  <si>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</si>
  <si>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</si>
  <si>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</si>
  <si>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</si>
  <si>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</si>
  <si>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</si>
  <si>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</si>
  <si>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</si>
  <si>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</si>
  <si>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</si>
  <si>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</si>
  <si>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</si>
  <si>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</si>
  <si>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</si>
  <si>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</si>
  <si>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</si>
  <si>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</si>
  <si>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</si>
  <si>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</si>
  <si>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</si>
  <si>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</si>
  <si>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</si>
  <si>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</si>
  <si>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</si>
  <si>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</si>
  <si>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</si>
  <si>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</si>
  <si>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</si>
  <si>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</si>
  <si>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</si>
  <si>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</si>
  <si>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</si>
  <si>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</si>
  <si>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</si>
  <si>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</si>
  <si>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</si>
  <si>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</si>
  <si>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</si>
  <si>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</si>
  <si>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</si>
  <si>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</si>
  <si>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</si>
  <si>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</si>
  <si>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</si>
  <si>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</si>
  <si>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</si>
  <si>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</si>
  <si>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</si>
  <si>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</si>
  <si>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</si>
  <si>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</si>
  <si>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</si>
  <si>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</si>
  <si>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</si>
  <si>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</si>
  <si>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</si>
  <si>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</si>
  <si>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</si>
  <si>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</si>
  <si>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</si>
  <si>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</si>
  <si>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</si>
  <si>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</si>
  <si>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</si>
  <si>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</si>
  <si>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</si>
  <si>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</si>
  <si>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</si>
  <si>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</si>
  <si>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</si>
  <si>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</si>
  <si>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</si>
  <si>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</si>
  <si>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</si>
  <si>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TotalPrice Stats</t>
  </si>
  <si>
    <t>Mean</t>
  </si>
  <si>
    <t>Median</t>
  </si>
  <si>
    <t>Mode</t>
  </si>
  <si>
    <t>Min</t>
  </si>
  <si>
    <t>Q1(25th %)</t>
  </si>
  <si>
    <t>Median(50th %)</t>
  </si>
  <si>
    <t>Q3(75th %)</t>
  </si>
  <si>
    <t>Max</t>
  </si>
  <si>
    <t>Quantity Stats</t>
  </si>
  <si>
    <t>UnitPrice Stats</t>
  </si>
  <si>
    <t>ItemsInCart Stats</t>
  </si>
  <si>
    <t>IQR</t>
  </si>
  <si>
    <t>Lower Bound</t>
  </si>
  <si>
    <t>Upper Bound</t>
  </si>
  <si>
    <t>Outlier Count</t>
  </si>
  <si>
    <t>UnitPrice vs TotalPrice</t>
  </si>
  <si>
    <t xml:space="preserve"> Quantity vs TotalPrice.</t>
  </si>
  <si>
    <t>Correlation Analysis:</t>
  </si>
  <si>
    <t>Quantity vs UnitPrice</t>
  </si>
  <si>
    <t>Row Labels</t>
  </si>
  <si>
    <t>Grand Total</t>
  </si>
  <si>
    <t>Count of OrderID</t>
  </si>
  <si>
    <t>Count per PaymentMethod</t>
  </si>
  <si>
    <t>Count per Catergory</t>
  </si>
  <si>
    <t>Count per OrderStatus</t>
  </si>
  <si>
    <t>Count per ReferralSource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</si>
</sst>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036481134259" createdVersion="8" refreshedVersion="8" minRefreshableVersion="3" recordCount="1200" xr:uid="{39EAEBD4-47E1-438E-B813-C6A81353225B}">
  <cacheSource type="worksheet">
    <worksheetSource ref="A1:N1201" sheet="cleaned data &amp; EDA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m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m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m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m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m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m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m/>
    <x v="3"/>
    <n v="1500.24"/>
  </r>
  <r>
    <s v="ORD200032"/>
    <d v="2023-05-01T00:00:00"/>
    <s v="C12388"/>
    <x v="2"/>
    <n v="5"/>
    <n v="536.72"/>
    <s v="830 Main St"/>
    <x v="4"/>
    <x v="3"/>
    <s v="TRK99261395"/>
    <n v="10"/>
    <m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m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m/>
    <x v="0"/>
    <n v="303.32"/>
  </r>
  <r>
    <s v="ORD200043"/>
    <d v="2023-12-14T00:00:00"/>
    <s v="C60572"/>
    <x v="3"/>
    <n v="3"/>
    <n v="499.21"/>
    <s v="871 Main St"/>
    <x v="1"/>
    <x v="1"/>
    <s v="TRK20351666"/>
    <n v="8"/>
    <m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m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m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m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m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m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m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m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m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m/>
    <x v="3"/>
    <n v="1733.8"/>
  </r>
  <r>
    <s v="ORD200074"/>
    <d v="2023-06-24T00:00:00"/>
    <s v="C25382"/>
    <x v="1"/>
    <n v="5"/>
    <n v="90.87"/>
    <s v="622 Main St"/>
    <x v="4"/>
    <x v="4"/>
    <s v="TRK64691287"/>
    <n v="5"/>
    <m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m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m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m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m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m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m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m/>
    <x v="1"/>
    <n v="470.04"/>
  </r>
  <r>
    <s v="ORD200096"/>
    <d v="2024-06-01T00:00:00"/>
    <s v="C93007"/>
    <x v="1"/>
    <n v="2"/>
    <n v="232.83"/>
    <s v="103 Main St"/>
    <x v="3"/>
    <x v="3"/>
    <s v="TRK85696091"/>
    <n v="7"/>
    <m/>
    <x v="0"/>
    <n v="465.66"/>
  </r>
  <r>
    <s v="ORD200097"/>
    <d v="2025-01-21T00:00:00"/>
    <s v="C15624"/>
    <x v="2"/>
    <n v="5"/>
    <n v="619.52"/>
    <s v="922 Main St"/>
    <x v="0"/>
    <x v="4"/>
    <s v="TRK40621141"/>
    <n v="9"/>
    <m/>
    <x v="2"/>
    <n v="3097.6"/>
  </r>
  <r>
    <s v="ORD200098"/>
    <d v="2023-01-14T00:00:00"/>
    <s v="C70921"/>
    <x v="4"/>
    <n v="2"/>
    <n v="228.54"/>
    <s v="533 Main St"/>
    <x v="0"/>
    <x v="4"/>
    <s v="TRK54983109"/>
    <n v="3"/>
    <m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m/>
    <x v="3"/>
    <n v="1994.37"/>
  </r>
  <r>
    <s v="ORD200101"/>
    <d v="2023-11-25T00:00:00"/>
    <s v="C15283"/>
    <x v="4"/>
    <n v="1"/>
    <n v="381.02"/>
    <s v="152 Main St"/>
    <x v="4"/>
    <x v="0"/>
    <s v="TRK19286291"/>
    <n v="6"/>
    <m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m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m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m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m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m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m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m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m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m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m/>
    <x v="1"/>
    <n v="1600.28"/>
  </r>
  <r>
    <s v="ORD200144"/>
    <d v="2023-08-04T00:00:00"/>
    <s v="C63365"/>
    <x v="6"/>
    <n v="5"/>
    <n v="219.78"/>
    <s v="895 Main St"/>
    <x v="2"/>
    <x v="4"/>
    <s v="TRK80100887"/>
    <n v="8"/>
    <m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m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m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m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m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m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m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m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m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m/>
    <x v="2"/>
    <n v="1619.73"/>
  </r>
  <r>
    <s v="ORD200180"/>
    <d v="2023-03-18T00:00:00"/>
    <s v="C87216"/>
    <x v="2"/>
    <n v="5"/>
    <n v="316.07"/>
    <s v="970 Main St"/>
    <x v="4"/>
    <x v="2"/>
    <s v="TRK18713727"/>
    <n v="10"/>
    <m/>
    <x v="4"/>
    <n v="1580.35"/>
  </r>
  <r>
    <s v="ORD200181"/>
    <d v="2024-08-31T00:00:00"/>
    <s v="C38966"/>
    <x v="4"/>
    <n v="5"/>
    <n v="404.39"/>
    <s v="247 Main St"/>
    <x v="1"/>
    <x v="0"/>
    <s v="TRK17205146"/>
    <n v="10"/>
    <m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m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m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m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m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m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m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m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m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m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m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m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m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m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m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m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m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m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m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m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m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m/>
    <x v="3"/>
    <n v="65.95"/>
  </r>
  <r>
    <s v="ORD200293"/>
    <d v="2023-02-16T00:00:00"/>
    <s v="C33220"/>
    <x v="2"/>
    <n v="4"/>
    <n v="463.04"/>
    <s v="564 Main St"/>
    <x v="3"/>
    <x v="2"/>
    <s v="TRK40450219"/>
    <n v="9"/>
    <m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m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m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m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m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m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m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m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m/>
    <x v="1"/>
    <n v="212.79"/>
  </r>
  <r>
    <s v="ORD200325"/>
    <d v="2023-06-29T00:00:00"/>
    <s v="C53545"/>
    <x v="6"/>
    <n v="3"/>
    <n v="361.39"/>
    <s v="665 Main St"/>
    <x v="2"/>
    <x v="0"/>
    <s v="TRK61123177"/>
    <n v="8"/>
    <m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m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m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m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m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m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m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m/>
    <x v="0"/>
    <n v="108.82"/>
  </r>
  <r>
    <s v="ORD200351"/>
    <d v="2025-02-15T00:00:00"/>
    <s v="C94248"/>
    <x v="5"/>
    <n v="1"/>
    <n v="64.66"/>
    <s v="494 Main St"/>
    <x v="0"/>
    <x v="3"/>
    <s v="TRK89406816"/>
    <n v="4"/>
    <m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m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m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m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m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m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m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m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m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m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m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m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m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m/>
    <x v="2"/>
    <n v="1036.46"/>
  </r>
  <r>
    <s v="ORD200411"/>
    <d v="2024-06-19T00:00:00"/>
    <s v="C66567"/>
    <x v="6"/>
    <n v="2"/>
    <n v="39.51"/>
    <s v="981 Main St"/>
    <x v="1"/>
    <x v="0"/>
    <s v="TRK21174822"/>
    <n v="5"/>
    <m/>
    <x v="3"/>
    <n v="79.02"/>
  </r>
  <r>
    <s v="ORD200412"/>
    <d v="2025-04-11T00:00:00"/>
    <s v="C42451"/>
    <x v="2"/>
    <n v="5"/>
    <n v="133.01"/>
    <s v="246 Main St"/>
    <x v="2"/>
    <x v="2"/>
    <s v="TRK31313343"/>
    <n v="10"/>
    <m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m/>
    <x v="4"/>
    <n v="277.05"/>
  </r>
  <r>
    <s v="ORD200418"/>
    <d v="2023-01-11T00:00:00"/>
    <s v="C74169"/>
    <x v="4"/>
    <n v="1"/>
    <n v="310.93"/>
    <s v="862 Main St"/>
    <x v="1"/>
    <x v="1"/>
    <s v="TRK66144809"/>
    <n v="3"/>
    <m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m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m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m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m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m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m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m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m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m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m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m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m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m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m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m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m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m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m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m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m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m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m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m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m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m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m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m/>
    <x v="4"/>
    <n v="357.64"/>
  </r>
  <r>
    <s v="ORD200531"/>
    <d v="2024-07-02T00:00:00"/>
    <s v="C64502"/>
    <x v="6"/>
    <n v="5"/>
    <n v="320.01"/>
    <s v="722 Main St"/>
    <x v="3"/>
    <x v="3"/>
    <s v="TRK14914388"/>
    <n v="6"/>
    <m/>
    <x v="1"/>
    <n v="1600.05"/>
  </r>
  <r>
    <s v="ORD200532"/>
    <d v="2025-05-03T00:00:00"/>
    <s v="C47365"/>
    <x v="5"/>
    <n v="2"/>
    <n v="41"/>
    <s v="369 Main St"/>
    <x v="1"/>
    <x v="3"/>
    <s v="TRK42207882"/>
    <n v="7"/>
    <m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m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m/>
    <x v="1"/>
    <n v="3243.25"/>
  </r>
  <r>
    <s v="ORD200541"/>
    <d v="2023-08-07T00:00:00"/>
    <s v="C69009"/>
    <x v="4"/>
    <n v="5"/>
    <n v="456.06"/>
    <s v="879 Main St"/>
    <x v="4"/>
    <x v="4"/>
    <s v="TRK61295842"/>
    <n v="10"/>
    <m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m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m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m/>
    <x v="2"/>
    <n v="2355.4"/>
  </r>
  <r>
    <s v="ORD200561"/>
    <d v="2023-01-31T00:00:00"/>
    <s v="C96822"/>
    <x v="4"/>
    <n v="2"/>
    <n v="494.78"/>
    <s v="198 Main St"/>
    <x v="1"/>
    <x v="0"/>
    <s v="TRK89180077"/>
    <n v="2"/>
    <m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m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m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m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m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m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m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m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m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m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m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m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m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m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m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m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m/>
    <x v="1"/>
    <n v="553.41"/>
  </r>
  <r>
    <s v="ORD200618"/>
    <d v="2024-09-03T00:00:00"/>
    <s v="C50565"/>
    <x v="2"/>
    <n v="1"/>
    <n v="411.34"/>
    <s v="399 Main St"/>
    <x v="0"/>
    <x v="2"/>
    <s v="TRK97981418"/>
    <n v="5"/>
    <m/>
    <x v="0"/>
    <n v="411.34"/>
  </r>
  <r>
    <s v="ORD200619"/>
    <d v="2024-07-16T00:00:00"/>
    <s v="C38845"/>
    <x v="5"/>
    <n v="1"/>
    <n v="532.89"/>
    <s v="764 Main St"/>
    <x v="3"/>
    <x v="4"/>
    <s v="TRK47637374"/>
    <n v="2"/>
    <m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m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m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m/>
    <x v="1"/>
    <n v="59.19"/>
  </r>
  <r>
    <s v="ORD200630"/>
    <d v="2023-06-23T00:00:00"/>
    <s v="C51481"/>
    <x v="0"/>
    <n v="5"/>
    <n v="248.84"/>
    <s v="140 Main St"/>
    <x v="0"/>
    <x v="1"/>
    <s v="TRK33437701"/>
    <n v="10"/>
    <m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m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m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m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m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m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m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m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m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m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m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m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m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m/>
    <x v="3"/>
    <n v="889.68"/>
  </r>
  <r>
    <s v="ORD200690"/>
    <d v="2024-07-12T00:00:00"/>
    <s v="C29318"/>
    <x v="0"/>
    <n v="1"/>
    <n v="24.48"/>
    <s v="128 Main St"/>
    <x v="3"/>
    <x v="2"/>
    <s v="TRK88666721"/>
    <n v="1"/>
    <m/>
    <x v="0"/>
    <n v="24.48"/>
  </r>
  <r>
    <s v="ORD200691"/>
    <d v="2024-11-24T00:00:00"/>
    <s v="C36137"/>
    <x v="5"/>
    <n v="3"/>
    <n v="239.08"/>
    <s v="396 Main St"/>
    <x v="4"/>
    <x v="0"/>
    <s v="TRK57376416"/>
    <n v="8"/>
    <m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m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m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m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m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m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m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m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m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m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m/>
    <x v="4"/>
    <n v="754.94"/>
  </r>
  <r>
    <s v="ORD200741"/>
    <d v="2025-01-23T00:00:00"/>
    <s v="C99683"/>
    <x v="0"/>
    <n v="5"/>
    <n v="332.64"/>
    <s v="945 Main St"/>
    <x v="3"/>
    <x v="3"/>
    <s v="TRK87305883"/>
    <n v="10"/>
    <m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m/>
    <x v="2"/>
    <n v="1010.13"/>
  </r>
  <r>
    <s v="ORD200756"/>
    <d v="2024-06-27T00:00:00"/>
    <s v="C14080"/>
    <x v="1"/>
    <n v="1"/>
    <n v="283.69"/>
    <s v="202 Main St"/>
    <x v="3"/>
    <x v="0"/>
    <s v="TRK93163682"/>
    <n v="6"/>
    <m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m/>
    <x v="4"/>
    <n v="39.56"/>
  </r>
  <r>
    <s v="ORD200761"/>
    <d v="2023-06-02T00:00:00"/>
    <s v="C37235"/>
    <x v="6"/>
    <n v="4"/>
    <n v="37.76"/>
    <s v="217 Main St"/>
    <x v="0"/>
    <x v="3"/>
    <s v="TRK67789367"/>
    <n v="7"/>
    <m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m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m/>
    <x v="2"/>
    <n v="2714.2"/>
  </r>
  <r>
    <s v="ORD200770"/>
    <d v="2024-02-11T00:00:00"/>
    <s v="C72166"/>
    <x v="6"/>
    <n v="1"/>
    <n v="314.38"/>
    <s v="227 Main St"/>
    <x v="1"/>
    <x v="2"/>
    <s v="TRK67733444"/>
    <n v="6"/>
    <m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m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m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m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m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m/>
    <x v="1"/>
    <n v="226.55"/>
  </r>
  <r>
    <s v="ORD200787"/>
    <d v="2024-03-17T00:00:00"/>
    <s v="C18167"/>
    <x v="6"/>
    <n v="4"/>
    <n v="221.96"/>
    <s v="193 Main St"/>
    <x v="4"/>
    <x v="3"/>
    <s v="TRK36841089"/>
    <n v="7"/>
    <m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m/>
    <x v="4"/>
    <n v="1671.56"/>
  </r>
  <r>
    <s v="ORD200791"/>
    <d v="2024-01-13T00:00:00"/>
    <s v="C49710"/>
    <x v="3"/>
    <n v="4"/>
    <n v="409.28"/>
    <s v="956 Main St"/>
    <x v="4"/>
    <x v="4"/>
    <s v="TRK92591237"/>
    <n v="8"/>
    <m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m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m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m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m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m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m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m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m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m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m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m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m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m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m/>
    <x v="0"/>
    <n v="773.52"/>
  </r>
  <r>
    <s v="ORD200858"/>
    <d v="2023-08-20T00:00:00"/>
    <s v="C22167"/>
    <x v="2"/>
    <n v="5"/>
    <n v="435.66"/>
    <s v="891 Main St"/>
    <x v="1"/>
    <x v="4"/>
    <s v="TRK70269748"/>
    <n v="9"/>
    <m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m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m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m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m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m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m/>
    <x v="4"/>
    <n v="460.13"/>
  </r>
  <r>
    <s v="ORD200887"/>
    <d v="2024-12-19T00:00:00"/>
    <s v="C67932"/>
    <x v="3"/>
    <n v="3"/>
    <n v="171.66"/>
    <s v="857 Main St"/>
    <x v="0"/>
    <x v="3"/>
    <s v="TRK88547534"/>
    <n v="7"/>
    <m/>
    <x v="4"/>
    <n v="514.98"/>
  </r>
  <r>
    <s v="ORD200888"/>
    <d v="2024-07-23T00:00:00"/>
    <s v="C14427"/>
    <x v="5"/>
    <n v="2"/>
    <n v="266.95"/>
    <s v="833 Main St"/>
    <x v="2"/>
    <x v="4"/>
    <s v="TRK58024529"/>
    <n v="3"/>
    <m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m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m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m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m/>
    <x v="3"/>
    <n v="721"/>
  </r>
  <r>
    <s v="ORD200903"/>
    <d v="2023-05-17T00:00:00"/>
    <s v="C80868"/>
    <x v="0"/>
    <n v="3"/>
    <n v="473.49"/>
    <s v="205 Main St"/>
    <x v="2"/>
    <x v="4"/>
    <s v="TRK56186636"/>
    <n v="7"/>
    <m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m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m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m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m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m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m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m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m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m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m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m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m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m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m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m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m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m/>
    <x v="4"/>
    <n v="956.72"/>
  </r>
  <r>
    <s v="ORD201012"/>
    <d v="2024-12-03T00:00:00"/>
    <s v="C84570"/>
    <x v="4"/>
    <n v="4"/>
    <n v="30.05"/>
    <s v="301 Main St"/>
    <x v="1"/>
    <x v="2"/>
    <s v="TRK12551882"/>
    <n v="6"/>
    <m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m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m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m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m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m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m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m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m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m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m/>
    <x v="0"/>
    <n v="1959.3"/>
  </r>
  <r>
    <s v="ORD201050"/>
    <d v="2023-08-20T00:00:00"/>
    <s v="C70659"/>
    <x v="5"/>
    <n v="5"/>
    <n v="69.7"/>
    <s v="722 Main St"/>
    <x v="1"/>
    <x v="2"/>
    <s v="TRK49663597"/>
    <n v="9"/>
    <m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m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m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m/>
    <x v="3"/>
    <n v="454.23"/>
  </r>
  <r>
    <s v="ORD201070"/>
    <d v="2024-09-06T00:00:00"/>
    <s v="C46873"/>
    <x v="6"/>
    <n v="4"/>
    <n v="491.29"/>
    <s v="496 Main St"/>
    <x v="0"/>
    <x v="4"/>
    <s v="TRK10926575"/>
    <n v="6"/>
    <m/>
    <x v="2"/>
    <n v="1965.16"/>
  </r>
  <r>
    <s v="ORD201071"/>
    <d v="2025-06-24T00:00:00"/>
    <s v="C94037"/>
    <x v="1"/>
    <n v="2"/>
    <n v="255.14"/>
    <s v="216 Main St"/>
    <x v="4"/>
    <x v="0"/>
    <s v="TRK47536985"/>
    <n v="2"/>
    <m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m/>
    <x v="3"/>
    <n v="1448.24"/>
  </r>
  <r>
    <s v="ORD201074"/>
    <d v="2024-05-10T00:00:00"/>
    <s v="C21437"/>
    <x v="1"/>
    <n v="1"/>
    <n v="222.73"/>
    <s v="120 Main St"/>
    <x v="1"/>
    <x v="2"/>
    <s v="TRK81624772"/>
    <n v="4"/>
    <m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m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m/>
    <x v="2"/>
    <n v="3170"/>
  </r>
  <r>
    <s v="ORD201080"/>
    <d v="2023-01-20T00:00:00"/>
    <s v="C70613"/>
    <x v="5"/>
    <n v="5"/>
    <n v="464.74"/>
    <s v="438 Main St"/>
    <x v="3"/>
    <x v="3"/>
    <s v="TRK33140293"/>
    <n v="7"/>
    <m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m/>
    <x v="0"/>
    <n v="1199.48"/>
  </r>
  <r>
    <s v="ORD201090"/>
    <d v="2023-02-25T00:00:00"/>
    <s v="C61225"/>
    <x v="0"/>
    <n v="2"/>
    <n v="650.25"/>
    <s v="996 Main St"/>
    <x v="3"/>
    <x v="2"/>
    <s v="TRK37022954"/>
    <n v="6"/>
    <m/>
    <x v="0"/>
    <n v="1300.5"/>
  </r>
  <r>
    <s v="ORD201091"/>
    <d v="2024-10-08T00:00:00"/>
    <s v="C16400"/>
    <x v="5"/>
    <n v="3"/>
    <n v="209.48"/>
    <s v="123 Main St"/>
    <x v="0"/>
    <x v="4"/>
    <s v="TRK57771859"/>
    <n v="4"/>
    <m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m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m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m/>
    <x v="0"/>
    <n v="1388.68"/>
  </r>
  <r>
    <s v="ORD201103"/>
    <d v="2023-04-24T00:00:00"/>
    <s v="C90292"/>
    <x v="5"/>
    <n v="4"/>
    <n v="276.32"/>
    <s v="129 Main St"/>
    <x v="1"/>
    <x v="3"/>
    <s v="TRK26270357"/>
    <n v="5"/>
    <m/>
    <x v="4"/>
    <n v="1105.28"/>
  </r>
  <r>
    <s v="ORD201104"/>
    <d v="2024-07-25T00:00:00"/>
    <s v="C17075"/>
    <x v="2"/>
    <n v="4"/>
    <n v="314.76"/>
    <s v="850 Main St"/>
    <x v="1"/>
    <x v="0"/>
    <s v="TRK63547510"/>
    <n v="8"/>
    <m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m/>
    <x v="4"/>
    <n v="839.96"/>
  </r>
  <r>
    <s v="ORD201114"/>
    <d v="2023-03-16T00:00:00"/>
    <s v="C55164"/>
    <x v="2"/>
    <n v="3"/>
    <n v="659.88"/>
    <s v="609 Main St"/>
    <x v="3"/>
    <x v="1"/>
    <s v="TRK79610967"/>
    <n v="3"/>
    <m/>
    <x v="4"/>
    <n v="1979.64"/>
  </r>
  <r>
    <s v="ORD201115"/>
    <d v="2025-06-20T00:00:00"/>
    <s v="C70426"/>
    <x v="5"/>
    <n v="2"/>
    <n v="336.32"/>
    <s v="562 Main St"/>
    <x v="1"/>
    <x v="2"/>
    <s v="TRK89687816"/>
    <n v="3"/>
    <m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m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m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m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m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m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m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m/>
    <x v="2"/>
    <n v="1495.98"/>
  </r>
  <r>
    <s v="ORD201142"/>
    <d v="2024-08-23T00:00:00"/>
    <s v="C23405"/>
    <x v="1"/>
    <n v="4"/>
    <n v="695.1"/>
    <s v="484 Main St"/>
    <x v="0"/>
    <x v="2"/>
    <s v="TRK83678708"/>
    <n v="8"/>
    <m/>
    <x v="2"/>
    <n v="2780.4"/>
  </r>
  <r>
    <s v="ORD201143"/>
    <d v="2023-04-03T00:00:00"/>
    <s v="C41132"/>
    <x v="3"/>
    <n v="1"/>
    <n v="381.61"/>
    <s v="114 Main St"/>
    <x v="0"/>
    <x v="4"/>
    <s v="TRK51040137"/>
    <n v="5"/>
    <m/>
    <x v="2"/>
    <n v="381.61"/>
  </r>
  <r>
    <s v="ORD201144"/>
    <d v="2023-02-16T00:00:00"/>
    <s v="C88463"/>
    <x v="6"/>
    <n v="5"/>
    <n v="507.94"/>
    <s v="292 Main St"/>
    <x v="1"/>
    <x v="1"/>
    <s v="TRK88749996"/>
    <n v="9"/>
    <m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m/>
    <x v="4"/>
    <n v="1216.08"/>
  </r>
  <r>
    <s v="ORD201152"/>
    <d v="2023-11-09T00:00:00"/>
    <s v="C25162"/>
    <x v="2"/>
    <n v="2"/>
    <n v="344.18"/>
    <s v="533 Main St"/>
    <x v="2"/>
    <x v="0"/>
    <s v="TRK42183078"/>
    <n v="7"/>
    <m/>
    <x v="1"/>
    <n v="688.36"/>
  </r>
  <r>
    <s v="ORD201153"/>
    <d v="2024-12-16T00:00:00"/>
    <s v="C98317"/>
    <x v="0"/>
    <n v="4"/>
    <n v="696.71"/>
    <s v="276 Main St"/>
    <x v="0"/>
    <x v="0"/>
    <s v="TRK37172138"/>
    <n v="4"/>
    <m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m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m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m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m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m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m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m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m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E1663-1492-4ECF-9280-90EC0BBEC458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:E22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E64BA-DBDD-44E6-A1DB-FE2C30DB54E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68099-1FC9-4128-9D16-2C9762FBC0D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E18DF-FBA1-46B7-91A1-F3287F7ED85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dataField="1"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7BED-12B4-43AA-BF15-6338C909E678}">
  <dimension ref="A2:E22"/>
  <sheetViews>
    <sheetView workbookViewId="0">
      <selection activeCell="G19" sqref="G19"/>
    </sheetView>
  </sheetViews>
  <sheetFormatPr defaultRowHeight="15" x14ac:dyDescent="0.25"/>
  <cols>
    <col min="1" max="1" width="13.140625" bestFit="1" customWidth="1"/>
    <col min="2" max="2" width="16.140625" bestFit="1" customWidth="1"/>
    <col min="4" max="4" width="13.140625" bestFit="1" customWidth="1"/>
    <col min="5" max="5" width="16.140625" bestFit="1" customWidth="1"/>
  </cols>
  <sheetData>
    <row r="2" spans="1:5" x14ac:dyDescent="0.25">
      <c r="A2" t="s">
        <v>4307</v>
      </c>
      <c r="D2" t="s">
        <v>4308</v>
      </c>
    </row>
    <row r="3" spans="1:5" x14ac:dyDescent="0.25">
      <c r="A3" s="3" t="s">
        <v>4303</v>
      </c>
      <c r="B3" t="s">
        <v>4305</v>
      </c>
      <c r="D3" s="3" t="s">
        <v>4303</v>
      </c>
      <c r="E3" t="s">
        <v>4305</v>
      </c>
    </row>
    <row r="4" spans="1:5" x14ac:dyDescent="0.25">
      <c r="A4" s="4" t="s">
        <v>2406</v>
      </c>
      <c r="B4" s="5">
        <v>178</v>
      </c>
      <c r="D4" s="4" t="s">
        <v>3071</v>
      </c>
      <c r="E4" s="5">
        <v>250</v>
      </c>
    </row>
    <row r="5" spans="1:5" x14ac:dyDescent="0.25">
      <c r="A5" s="4" t="s">
        <v>2409</v>
      </c>
      <c r="B5" s="5">
        <v>170</v>
      </c>
      <c r="D5" s="4" t="s">
        <v>3073</v>
      </c>
      <c r="E5" s="5">
        <v>231</v>
      </c>
    </row>
    <row r="6" spans="1:5" x14ac:dyDescent="0.25">
      <c r="A6" s="4" t="s">
        <v>2408</v>
      </c>
      <c r="B6" s="5">
        <v>173</v>
      </c>
      <c r="D6" s="4" t="s">
        <v>3074</v>
      </c>
      <c r="E6" s="5">
        <v>237</v>
      </c>
    </row>
    <row r="7" spans="1:5" x14ac:dyDescent="0.25">
      <c r="A7" s="4" t="s">
        <v>2403</v>
      </c>
      <c r="B7" s="5">
        <v>163</v>
      </c>
      <c r="D7" s="4" t="s">
        <v>3072</v>
      </c>
      <c r="E7" s="5">
        <v>247</v>
      </c>
    </row>
    <row r="8" spans="1:5" x14ac:dyDescent="0.25">
      <c r="A8" s="4" t="s">
        <v>2404</v>
      </c>
      <c r="B8" s="5">
        <v>156</v>
      </c>
      <c r="D8" s="4" t="s">
        <v>3070</v>
      </c>
      <c r="E8" s="5">
        <v>235</v>
      </c>
    </row>
    <row r="9" spans="1:5" x14ac:dyDescent="0.25">
      <c r="A9" s="4" t="s">
        <v>2407</v>
      </c>
      <c r="B9" s="5">
        <v>181</v>
      </c>
      <c r="D9" s="4" t="s">
        <v>4304</v>
      </c>
      <c r="E9" s="5">
        <v>1200</v>
      </c>
    </row>
    <row r="10" spans="1:5" x14ac:dyDescent="0.25">
      <c r="A10" s="4" t="s">
        <v>2405</v>
      </c>
      <c r="B10" s="5">
        <v>179</v>
      </c>
    </row>
    <row r="11" spans="1:5" x14ac:dyDescent="0.25">
      <c r="A11" s="4" t="s">
        <v>4304</v>
      </c>
      <c r="B11" s="5">
        <v>1200</v>
      </c>
    </row>
    <row r="14" spans="1:5" x14ac:dyDescent="0.25">
      <c r="A14" t="s">
        <v>4306</v>
      </c>
    </row>
    <row r="15" spans="1:5" x14ac:dyDescent="0.25">
      <c r="A15" s="3" t="s">
        <v>4303</v>
      </c>
      <c r="B15" t="s">
        <v>4305</v>
      </c>
      <c r="D15" t="s">
        <v>4309</v>
      </c>
    </row>
    <row r="16" spans="1:5" x14ac:dyDescent="0.25">
      <c r="A16" s="4" t="s">
        <v>3069</v>
      </c>
      <c r="B16" s="5">
        <v>246</v>
      </c>
      <c r="D16" s="3" t="s">
        <v>4303</v>
      </c>
      <c r="E16" t="s">
        <v>4305</v>
      </c>
    </row>
    <row r="17" spans="1:5" x14ac:dyDescent="0.25">
      <c r="A17" s="4" t="s">
        <v>3067</v>
      </c>
      <c r="B17" s="5">
        <v>234</v>
      </c>
      <c r="D17" s="4" t="s">
        <v>4280</v>
      </c>
      <c r="E17" s="5">
        <v>250</v>
      </c>
    </row>
    <row r="18" spans="1:5" x14ac:dyDescent="0.25">
      <c r="A18" s="4" t="s">
        <v>3065</v>
      </c>
      <c r="B18" s="5">
        <v>232</v>
      </c>
      <c r="D18" s="4" t="s">
        <v>4281</v>
      </c>
      <c r="E18" s="5">
        <v>228</v>
      </c>
    </row>
    <row r="19" spans="1:5" x14ac:dyDescent="0.25">
      <c r="A19" s="4" t="s">
        <v>3068</v>
      </c>
      <c r="B19" s="5">
        <v>230</v>
      </c>
      <c r="D19" s="4" t="s">
        <v>4282</v>
      </c>
      <c r="E19" s="5">
        <v>241</v>
      </c>
    </row>
    <row r="20" spans="1:5" x14ac:dyDescent="0.25">
      <c r="A20" s="4" t="s">
        <v>3066</v>
      </c>
      <c r="B20" s="5">
        <v>258</v>
      </c>
      <c r="D20" s="4" t="s">
        <v>4278</v>
      </c>
      <c r="E20" s="5">
        <v>259</v>
      </c>
    </row>
    <row r="21" spans="1:5" x14ac:dyDescent="0.25">
      <c r="A21" s="4" t="s">
        <v>4304</v>
      </c>
      <c r="B21" s="5">
        <v>1200</v>
      </c>
      <c r="D21" s="4" t="s">
        <v>4279</v>
      </c>
      <c r="E21" s="5">
        <v>222</v>
      </c>
    </row>
    <row r="22" spans="1:5" x14ac:dyDescent="0.25">
      <c r="D22" s="4" t="s">
        <v>4304</v>
      </c>
      <c r="E22" s="5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1"/>
  <sheetViews>
    <sheetView tabSelected="1" workbookViewId="0">
      <selection activeCell="H17" sqref="H17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4283</v>
      </c>
      <c r="S1" t="s">
        <v>4292</v>
      </c>
      <c r="V1" t="s">
        <v>4293</v>
      </c>
      <c r="Y1" t="s">
        <v>4294</v>
      </c>
    </row>
    <row r="2" spans="1:26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 t="s">
        <v>4284</v>
      </c>
      <c r="Q2">
        <f>AVERAGE(N2:N1201)</f>
        <v>1053.9683000000005</v>
      </c>
      <c r="S2" t="s">
        <v>4284</v>
      </c>
      <c r="T2">
        <f>AVERAGE(E2:E1201)</f>
        <v>2.9458333333333333</v>
      </c>
      <c r="V2" t="s">
        <v>4284</v>
      </c>
      <c r="W2">
        <f>AVERAGE(F2:F1201)</f>
        <v>356.41275000000007</v>
      </c>
      <c r="Y2" t="s">
        <v>4284</v>
      </c>
      <c r="Z2">
        <f>AVERAGE(K2:K1201)</f>
        <v>5.4850000000000003</v>
      </c>
    </row>
    <row r="3" spans="1:26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 t="s">
        <v>4285</v>
      </c>
      <c r="Q3">
        <f>MEDIAN(N2:N1201)</f>
        <v>823.61500000000001</v>
      </c>
      <c r="S3" t="s">
        <v>4285</v>
      </c>
      <c r="T3">
        <f>MEDIAN(E2:E1201)</f>
        <v>3</v>
      </c>
      <c r="V3" t="s">
        <v>4285</v>
      </c>
      <c r="W3">
        <f>MEDIAN(F2:F1201)</f>
        <v>364.21</v>
      </c>
      <c r="Y3" t="s">
        <v>4285</v>
      </c>
      <c r="Z3">
        <f>MEDIAN(K2:K1201)</f>
        <v>5</v>
      </c>
    </row>
    <row r="4" spans="1:26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 t="s">
        <v>4286</v>
      </c>
      <c r="Q4">
        <f>_xlfn.MODE.SNGL(N2:N1201)</f>
        <v>635.90000000000009</v>
      </c>
      <c r="S4" t="s">
        <v>4286</v>
      </c>
      <c r="T4">
        <f>_xlfn.MODE.SNGL(E2:E1201)</f>
        <v>1</v>
      </c>
      <c r="V4" t="s">
        <v>4286</v>
      </c>
      <c r="W4">
        <f>_xlfn.MODE.SNGL(F2:F1201)</f>
        <v>127.18</v>
      </c>
      <c r="Y4" t="s">
        <v>4286</v>
      </c>
      <c r="Z4">
        <f>_xlfn.MODE.SNGL(K2:K1201)</f>
        <v>5</v>
      </c>
    </row>
    <row r="5" spans="1:26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t="s">
        <v>4287</v>
      </c>
      <c r="Q5">
        <f>MIN(N2:N1201)</f>
        <v>11.39</v>
      </c>
      <c r="S5" t="s">
        <v>4287</v>
      </c>
      <c r="T5">
        <f>MIN(E2:E1201)</f>
        <v>1</v>
      </c>
      <c r="V5" t="s">
        <v>4287</v>
      </c>
      <c r="W5">
        <f>MIN(F2:F1201)</f>
        <v>11.39</v>
      </c>
      <c r="Y5" t="s">
        <v>4287</v>
      </c>
      <c r="Z5">
        <f>MIN(K2:K1201)</f>
        <v>1</v>
      </c>
    </row>
    <row r="6" spans="1:26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t="s">
        <v>4288</v>
      </c>
      <c r="Q6">
        <f>_xlfn.QUARTILE.INC(N2:N1201,1)</f>
        <v>410.52</v>
      </c>
      <c r="S6" t="s">
        <v>4288</v>
      </c>
      <c r="T6">
        <f>_xlfn.QUARTILE.INC(E2:E1201,1)</f>
        <v>2</v>
      </c>
      <c r="V6" t="s">
        <v>4288</v>
      </c>
      <c r="W6">
        <f>_xlfn.QUARTILE.INC(F2:F1201,1)</f>
        <v>186.0625</v>
      </c>
      <c r="Y6" t="s">
        <v>4288</v>
      </c>
      <c r="Z6">
        <f>_xlfn.QUARTILE.INC(K2:K1201,1)</f>
        <v>4</v>
      </c>
    </row>
    <row r="7" spans="1:26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t="s">
        <v>4289</v>
      </c>
      <c r="Q7">
        <f>_xlfn.QUARTILE.INC(N2:N1201,2)</f>
        <v>823.61500000000001</v>
      </c>
      <c r="S7" t="s">
        <v>4289</v>
      </c>
      <c r="T7">
        <f>_xlfn.QUARTILE.INC(E2:E1201,2)</f>
        <v>3</v>
      </c>
      <c r="V7" t="s">
        <v>4289</v>
      </c>
      <c r="W7">
        <f>_xlfn.QUARTILE.INC(F2:F1201,2)</f>
        <v>364.21</v>
      </c>
      <c r="Y7" t="s">
        <v>4289</v>
      </c>
      <c r="Z7">
        <f>_xlfn.QUARTILE.INC(K2:K1201,2)</f>
        <v>5</v>
      </c>
    </row>
    <row r="8" spans="1:26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 t="s">
        <v>4290</v>
      </c>
      <c r="Q8">
        <f>_xlfn.QUARTILE.INC(N2:N1201,3)</f>
        <v>1578.4749999999999</v>
      </c>
      <c r="S8" t="s">
        <v>4290</v>
      </c>
      <c r="T8">
        <f>_xlfn.QUARTILE.INC(E2:E1201,3)</f>
        <v>4</v>
      </c>
      <c r="V8" t="s">
        <v>4290</v>
      </c>
      <c r="W8">
        <f>_xlfn.QUARTILE.INC(F2:F1201,3)</f>
        <v>521.56999999999994</v>
      </c>
      <c r="Y8" t="s">
        <v>4290</v>
      </c>
      <c r="Z8">
        <f>_xlfn.QUARTILE.INC(K2:K1201,3)</f>
        <v>7</v>
      </c>
    </row>
    <row r="9" spans="1:26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 t="s">
        <v>4291</v>
      </c>
      <c r="Q9">
        <f>MAX(N2:N1201)</f>
        <v>3456.4</v>
      </c>
      <c r="S9" t="s">
        <v>4291</v>
      </c>
      <c r="T9">
        <f>MAX(E2:E1201)</f>
        <v>5</v>
      </c>
      <c r="V9" t="s">
        <v>4291</v>
      </c>
      <c r="W9">
        <f>MAX(F2:F1201)</f>
        <v>699.93</v>
      </c>
      <c r="Y9" t="s">
        <v>4291</v>
      </c>
      <c r="Z9">
        <f>MAX(K2:K1201)</f>
        <v>10</v>
      </c>
    </row>
    <row r="10" spans="1:26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26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P11" t="s">
        <v>4295</v>
      </c>
      <c r="Q11">
        <f>Q8-Q6</f>
        <v>1167.9549999999999</v>
      </c>
      <c r="S11" t="s">
        <v>4301</v>
      </c>
    </row>
    <row r="12" spans="1:26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P12" t="s">
        <v>4296</v>
      </c>
      <c r="Q12">
        <f>Q6-(1.5*Q11)</f>
        <v>-1341.4124999999999</v>
      </c>
      <c r="S12" t="s">
        <v>4300</v>
      </c>
      <c r="T12">
        <f>CORREL(E2:E1201,N2:N1201)</f>
        <v>0.61525136334670683</v>
      </c>
    </row>
    <row r="13" spans="1:26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P13" t="s">
        <v>4297</v>
      </c>
      <c r="Q13">
        <f>Q8+(1.5*Q11)</f>
        <v>3330.4074999999998</v>
      </c>
      <c r="S13" t="s">
        <v>4299</v>
      </c>
      <c r="T13">
        <f>CORREL(F2:F1201,N2:N1201)</f>
        <v>0.717081089263781</v>
      </c>
    </row>
    <row r="14" spans="1:26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P14" t="s">
        <v>4298</v>
      </c>
      <c r="Q14">
        <f>COUNTIF(N2:N1201,"&lt;"&amp;Q12)+COUNTIF(N2:N1201,"&gt;"&amp;Q13)</f>
        <v>8</v>
      </c>
      <c r="S14" t="s">
        <v>4302</v>
      </c>
      <c r="T14">
        <f>CORREL(E2:E1201,F2:F1201)</f>
        <v>1.4553341185454998E-2</v>
      </c>
    </row>
    <row r="15" spans="1:26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26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Analysis</vt:lpstr>
      <vt:lpstr>cleaned data &amp; 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eunice eboreime</cp:lastModifiedBy>
  <dcterms:created xsi:type="dcterms:W3CDTF">2025-06-21T13:19:12Z</dcterms:created>
  <dcterms:modified xsi:type="dcterms:W3CDTF">2026-07-03T00:00:14Z</dcterms:modified>
</cp:coreProperties>
</file>